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rmation" sheetId="1" r:id="rId4"/>
    <sheet state="visible" name="positions + near varinats" sheetId="2" r:id="rId5"/>
    <sheet state="visible" name="control sites" sheetId="3" r:id="rId6"/>
  </sheets>
  <definedNames/>
  <calcPr/>
  <extLst>
    <ext uri="GoogleSheetsCustomDataVersion1">
      <go:sheetsCustomData xmlns:go="http://customooxmlschemas.google.com/" r:id="rId7" roundtripDataSignature="AMtx7mhTzhRX7IrqtEWhFJb2nRHFjguRZg=="/>
    </ext>
  </extLst>
</workbook>
</file>

<file path=xl/sharedStrings.xml><?xml version="1.0" encoding="utf-8"?>
<sst xmlns="http://schemas.openxmlformats.org/spreadsheetml/2006/main" count="748" uniqueCount="173">
  <si>
    <t>NIST Genome Editing Consoritum Mixture Study</t>
  </si>
  <si>
    <t>General approach:</t>
  </si>
  <si>
    <t xml:space="preserve">Provide all intersted participants with the same blinded samples along with a list of genomic positions for DNA sequence detection </t>
  </si>
  <si>
    <t>Blinded samples will have DNA variants ranging in size and variant frequency (see challenges to address slide below)</t>
  </si>
  <si>
    <t>Each interested particpant will design assays per their normal process, and perform measurments for the positoins provided and</t>
  </si>
  <si>
    <t xml:space="preserve">report on any NGS sequencing detected DNA sequence variant(s) (as compared to the hg38 reference genome), including: </t>
  </si>
  <si>
    <t>•Number of reads at that location</t>
  </si>
  <si>
    <t>•Number of reads for each variant</t>
  </si>
  <si>
    <t>•% of each variant amongst total reads</t>
  </si>
  <si>
    <t xml:space="preserve">Participatns using non NGS sequencing approaches (i.e. hybridization for large variants) will be provided samples and coordinates </t>
  </si>
  <si>
    <t>in a format relevant to those technologies</t>
  </si>
  <si>
    <t xml:space="preserve">This spreadsheet contains: </t>
  </si>
  <si>
    <t>1)</t>
  </si>
  <si>
    <r>
      <rPr>
        <rFont val="Calibri"/>
        <color theme="1"/>
        <sz val="12.0"/>
      </rPr>
      <t xml:space="preserve">positions of interst to be meausred for the mixture study indexed from human genome assembly hg38 * </t>
    </r>
    <r>
      <rPr>
        <rFont val="Calibri"/>
        <b/>
        <color theme="1"/>
        <sz val="12.0"/>
      </rPr>
      <t>(tab 1)</t>
    </r>
  </si>
  <si>
    <t>* note: positions are indexed using a 1 base counting  from high confidence vcf files of whole genome sequencing</t>
  </si>
  <si>
    <t xml:space="preserve">* note: indels are currently listed using the 5’ upstream end of the variant as the “position of interest”. EXAMPLE: a 10 bp deletion </t>
  </si>
  <si>
    <t>on Chr 1 from position 25 – 34 will be listed as Chr 1 position of interest 25), also see AAVS1 variant tab for examples</t>
  </si>
  <si>
    <t>2)</t>
  </si>
  <si>
    <r>
      <rPr>
        <rFont val="Calibri"/>
        <color theme="1"/>
        <sz val="12.0"/>
      </rPr>
      <t xml:space="preserve">variants within +/- 2kb of the position of interest to be avoided* when designing assays </t>
    </r>
    <r>
      <rPr>
        <rFont val="Calibri"/>
        <b/>
        <color theme="1"/>
        <sz val="12.0"/>
      </rPr>
      <t>(tab 1)</t>
    </r>
  </si>
  <si>
    <t>* note: based on the mixutre study these positions should be interpreted as potentially present and unclear in frequency so</t>
  </si>
  <si>
    <t>potentiallly confounding to assay design</t>
  </si>
  <si>
    <t>3)</t>
  </si>
  <si>
    <r>
      <rPr>
        <rFont val="Calibri"/>
        <color theme="1"/>
        <sz val="12.0"/>
      </rPr>
      <t xml:space="preserve">6 control sites with no sequence variants +/- 2kb compared to the hg38 human genome assembly </t>
    </r>
    <r>
      <rPr>
        <rFont val="Calibri"/>
        <b/>
        <color theme="1"/>
        <sz val="12.0"/>
      </rPr>
      <t>(tab 2)</t>
    </r>
  </si>
  <si>
    <t>CHR</t>
  </si>
  <si>
    <t>Positon of interest (hg38)</t>
  </si>
  <si>
    <t>Nearbay variants (+/- 2 kb)</t>
  </si>
  <si>
    <t>Neaby variant coordiante bounds</t>
  </si>
  <si>
    <t>Near Variant Position</t>
  </si>
  <si>
    <t>Reference</t>
  </si>
  <si>
    <t>Variant</t>
  </si>
  <si>
    <t xml:space="preserve">Upper </t>
  </si>
  <si>
    <t>Lower</t>
  </si>
  <si>
    <t>T</t>
  </si>
  <si>
    <t>C</t>
  </si>
  <si>
    <t>chr1:34282890-34286890</t>
  </si>
  <si>
    <t>A</t>
  </si>
  <si>
    <t>34285894 - 34285899</t>
  </si>
  <si>
    <t>CAAATT</t>
  </si>
  <si>
    <t>G</t>
  </si>
  <si>
    <t>chr1:179753193-179757193</t>
  </si>
  <si>
    <t>chr2:60491183-60495183</t>
  </si>
  <si>
    <t>GA</t>
  </si>
  <si>
    <t>AAAAC</t>
  </si>
  <si>
    <t>CCT</t>
  </si>
  <si>
    <t>chr2:205374392-205378392</t>
  </si>
  <si>
    <t>205377763 - 205377769</t>
  </si>
  <si>
    <t>ATTTTTT</t>
  </si>
  <si>
    <t>chr2:49332343-49336343</t>
  </si>
  <si>
    <t>ATATATATATATATATATATATATATATATATATATATATTTTTTTTTTT</t>
  </si>
  <si>
    <t>49335724 - 49335725</t>
  </si>
  <si>
    <t>TG</t>
  </si>
  <si>
    <t>CA</t>
  </si>
  <si>
    <t>chr3:10153630-10157630</t>
  </si>
  <si>
    <t>10157602 - 10157604</t>
  </si>
  <si>
    <t>CTT</t>
  </si>
  <si>
    <t>chr3:56827730-56831730</t>
  </si>
  <si>
    <t>chr3:49542690-49546690</t>
  </si>
  <si>
    <t>chr3:122429340-122433340</t>
  </si>
  <si>
    <t>CT</t>
  </si>
  <si>
    <t>-</t>
  </si>
  <si>
    <t>chr3:128138299-128142299</t>
  </si>
  <si>
    <t>chr3:162792345-162796345</t>
  </si>
  <si>
    <t>chr4:65427453-65431453</t>
  </si>
  <si>
    <t>chr4:85408007-85412007</t>
  </si>
  <si>
    <t>85410214 - 85410216</t>
  </si>
  <si>
    <t>TTC</t>
  </si>
  <si>
    <t>AGGTAGAGCC</t>
  </si>
  <si>
    <t>85410940 - 85410941</t>
  </si>
  <si>
    <t>85411189 - 85411223</t>
  </si>
  <si>
    <t>GTATCTGAGGATGTGAGGCTGGATTCAAACCCAGT</t>
  </si>
  <si>
    <t>chr4:102840899-102844899</t>
  </si>
  <si>
    <t>AAG</t>
  </si>
  <si>
    <t>chr5:118530528-118534528</t>
  </si>
  <si>
    <t>chr6:10060378-10064378</t>
  </si>
  <si>
    <t>85615914‬</t>
  </si>
  <si>
    <t>chr6:85614567-85618567</t>
  </si>
  <si>
    <t>85616750‬</t>
  </si>
  <si>
    <t>TTATATATATATATATATATATA</t>
  </si>
  <si>
    <t>chr6:69537787-69541787</t>
  </si>
  <si>
    <t>TTATAGTAAAC</t>
  </si>
  <si>
    <t>chr6:155758090-155762090</t>
  </si>
  <si>
    <t>chr7:141666038-141670038</t>
  </si>
  <si>
    <t>141667555 - 141667563</t>
  </si>
  <si>
    <t>CCTTGTGAG</t>
  </si>
  <si>
    <t>141668344 - 141668345</t>
  </si>
  <si>
    <t>CTG</t>
  </si>
  <si>
    <t>141669482 - 141669483</t>
  </si>
  <si>
    <t>AT</t>
  </si>
  <si>
    <t>AT, ATTT</t>
  </si>
  <si>
    <t>92111482‬</t>
  </si>
  <si>
    <t>chr7:92109998-92113998</t>
  </si>
  <si>
    <t>chr7:16130148-16134148</t>
  </si>
  <si>
    <t>chr9:82997205-83001205</t>
  </si>
  <si>
    <t>AC</t>
  </si>
  <si>
    <t>82999984 - 82999988</t>
  </si>
  <si>
    <t>GACAC</t>
  </si>
  <si>
    <t>82999984 - 83000000</t>
  </si>
  <si>
    <t>GACACACACACACACAC</t>
  </si>
  <si>
    <t>GACACACACACAC, G</t>
  </si>
  <si>
    <t>chr9:10,161,173-10,165,173</t>
  </si>
  <si>
    <t>64538755 - 64538756</t>
  </si>
  <si>
    <t>chr10:64538084-64542084</t>
  </si>
  <si>
    <t>chr10:79934080-79938080</t>
  </si>
  <si>
    <t>79937407 - 79937410</t>
  </si>
  <si>
    <t>CGAT</t>
  </si>
  <si>
    <t>chr10:80762617-80766617</t>
  </si>
  <si>
    <t>chr12:108763941-108767941</t>
  </si>
  <si>
    <t>chr12:53103820-53107820</t>
  </si>
  <si>
    <t>53104289 - 531044291</t>
  </si>
  <si>
    <t>53104999 - 53105000</t>
  </si>
  <si>
    <t>TA</t>
  </si>
  <si>
    <t>53106276 - 53106280</t>
  </si>
  <si>
    <t>ATGTG</t>
  </si>
  <si>
    <t>53107163 - 53107164</t>
  </si>
  <si>
    <t>53107304 - 53107306</t>
  </si>
  <si>
    <t>ACT</t>
  </si>
  <si>
    <t>chr12:38428542-38432542</t>
  </si>
  <si>
    <t>chr13:28419583-28423583</t>
  </si>
  <si>
    <t>28421534 - 28421535</t>
  </si>
  <si>
    <t>28422318 - 28422319</t>
  </si>
  <si>
    <t>TC</t>
  </si>
  <si>
    <t>chr13:113127397-113131397</t>
  </si>
  <si>
    <t>89500808 - 89500809</t>
  </si>
  <si>
    <t>chr13:89500589-89504589</t>
  </si>
  <si>
    <t>89501013 - 89501017</t>
  </si>
  <si>
    <t>GTTAA</t>
  </si>
  <si>
    <t>AT, ATT</t>
  </si>
  <si>
    <t>chr13:41647604-41651604</t>
  </si>
  <si>
    <t>chr14:104681310-104685310</t>
  </si>
  <si>
    <t>chr15:27029657-27033657</t>
  </si>
  <si>
    <t>CACTT</t>
  </si>
  <si>
    <t>27031063 - 27031065</t>
  </si>
  <si>
    <t>GAC</t>
  </si>
  <si>
    <t>GT</t>
  </si>
  <si>
    <t>chr15:79550558-79554558</t>
  </si>
  <si>
    <t>79552048 - 79552049</t>
  </si>
  <si>
    <t>79552048 - 79552050</t>
  </si>
  <si>
    <t>CAA</t>
  </si>
  <si>
    <t>ATTC</t>
  </si>
  <si>
    <t>chr16:82755476-82759476</t>
  </si>
  <si>
    <t>GAGGTTGTAGTGAGCCCAGATCATGCCACTGCACTCCAGCTTGGACGAT</t>
  </si>
  <si>
    <t>chr19:50934562-50938562</t>
  </si>
  <si>
    <t>CCTTT</t>
  </si>
  <si>
    <t>Note: All tandem repeats, homopolymers &gt;6bp, difficult to map regions, and segmental duplications were excluded</t>
  </si>
  <si>
    <t>Note: All positons based on GRCh38</t>
  </si>
  <si>
    <t xml:space="preserve">Note: All positions are repoted from vcf files using a 1 base counting system </t>
  </si>
  <si>
    <t xml:space="preserve">control sites </t>
  </si>
  <si>
    <t>Position of interest (hg38)</t>
  </si>
  <si>
    <t>Size/type</t>
  </si>
  <si>
    <t>REF range (+/- 20 bp)</t>
  </si>
  <si>
    <t xml:space="preserve">REF (41 bp shown) </t>
  </si>
  <si>
    <t>ALT</t>
  </si>
  <si>
    <t>chr1cntl</t>
  </si>
  <si>
    <t>homozygus reference</t>
  </si>
  <si>
    <t>chr1:15932559-15932599</t>
  </si>
  <si>
    <t>GCACAGGCAGGGGAGAGGGAATCTGGGGTGGTGGCAGTCTC</t>
  </si>
  <si>
    <t>n/a</t>
  </si>
  <si>
    <t>chr3cntl</t>
  </si>
  <si>
    <t>chr3:44,641,296-44,641,336</t>
  </si>
  <si>
    <t>AAATGAATTTTAAAATTTCCATTTCTTAATTTTAAACGGAG</t>
  </si>
  <si>
    <t>chr13cntl</t>
  </si>
  <si>
    <t>chr13:23,330,227-23,330,267</t>
  </si>
  <si>
    <t>TCATTTGGGATCTGAGGAAAGGGAAGCAAATCAGGGTATCT</t>
  </si>
  <si>
    <t>chr15cntl</t>
  </si>
  <si>
    <t>chr15:32,913,654-32,913,694</t>
  </si>
  <si>
    <t>TCTCTCATATTTTACATAAGGTGAAGATGGTATACTTTAAG</t>
  </si>
  <si>
    <t>chr16cntl</t>
  </si>
  <si>
    <t>chr16:1,673,732-1,673,772</t>
  </si>
  <si>
    <t>ATTCTGCACAGAGCCCTGGGCTGCCATCCCTAGCTTAGCTT</t>
  </si>
  <si>
    <t>chr22cntl</t>
  </si>
  <si>
    <t>chr22:19,657,958-19,657,998</t>
  </si>
  <si>
    <t>CTGCCCGAAGCCTTGGTATCCTCCTTGGGCCTGAAGTCCAT</t>
  </si>
  <si>
    <t>Note:  No nearby variants +/- 2 kb for control 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</si>
</sst>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Calibri"/>
      <scheme val="minor"/>
    </font>
    <font>
      <b/>
      <sz val="13.0"/>
      <color theme="1"/>
      <name val="Calibri"/>
    </font>
    <font>
      <sz val="13.0"/>
      <color theme="1"/>
      <name val="Calibri"/>
    </font>
    <font>
      <b/>
      <sz val="12.0"/>
      <color theme="1"/>
      <name val="Calibri"/>
    </font>
    <font>
      <b/>
      <u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20.0"/>
      <color theme="1"/>
      <name val="Arial"/>
    </font>
    <font>
      <b/>
      <sz val="11.0"/>
      <color rgb="FF0070C0"/>
      <name val="Calibri"/>
    </font>
    <font>
      <sz val="11.0"/>
      <color rgb="FF0070C0"/>
      <name val="Calibri"/>
    </font>
    <font>
      <b/>
      <sz val="11.0"/>
      <color rgb="FF7030A0"/>
      <name val="Calibri"/>
    </font>
    <font/>
    <font>
      <sz val="11.0"/>
      <color rgb="FF7030A0"/>
      <name val="Calibri"/>
    </font>
    <font>
      <sz val="11.0"/>
      <color theme="1"/>
      <name val="Calibri"/>
    </font>
    <font>
      <b/>
      <sz val="11.0"/>
      <color rgb="FF00B050"/>
      <name val="Calibri"/>
    </font>
    <font>
      <sz val="11.0"/>
      <color rgb="FF00B050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2" numFmtId="0" xfId="0" applyFont="1"/>
    <xf borderId="0" fillId="3" fontId="1" numFmtId="0" xfId="0" applyFill="1" applyFont="1"/>
    <xf borderId="0" fillId="3" fontId="2" numFmtId="0" xfId="0" applyFont="1"/>
    <xf borderId="0" fillId="3" fontId="3" numFmtId="0" xfId="0" applyFont="1"/>
    <xf borderId="0" fillId="3" fontId="4" numFmtId="0" xfId="0" applyFont="1"/>
    <xf borderId="0" fillId="0" fontId="5" numFmtId="0" xfId="0" applyFont="1"/>
    <xf borderId="0" fillId="3" fontId="5" numFmtId="0" xfId="0" applyFont="1"/>
    <xf borderId="0" fillId="3" fontId="5" numFmtId="0" xfId="0" applyAlignment="1" applyFont="1">
      <alignment horizontal="left" readingOrder="1" vertical="center"/>
    </xf>
    <xf borderId="0" fillId="3" fontId="5" numFmtId="0" xfId="0" applyAlignment="1" applyFont="1">
      <alignment horizontal="left" readingOrder="1" vertical="top"/>
    </xf>
    <xf borderId="0" fillId="3" fontId="6" numFmtId="0" xfId="0" applyAlignment="1" applyFont="1">
      <alignment horizontal="left" readingOrder="1" vertical="center"/>
    </xf>
    <xf borderId="0" fillId="0" fontId="7" numFmtId="0" xfId="0" applyAlignment="1" applyFont="1">
      <alignment horizontal="left" readingOrder="1" vertical="center"/>
    </xf>
    <xf borderId="2" fillId="0" fontId="8" numFmtId="0" xfId="0" applyBorder="1" applyFont="1"/>
    <xf borderId="2" fillId="0" fontId="9" numFmtId="0" xfId="0" applyBorder="1" applyFont="1"/>
    <xf borderId="2" fillId="0" fontId="10" numFmtId="0" xfId="0" applyAlignment="1" applyBorder="1" applyFont="1">
      <alignment horizontal="center"/>
    </xf>
    <xf borderId="2" fillId="0" fontId="11" numFmtId="0" xfId="0" applyBorder="1" applyFont="1"/>
    <xf borderId="2" fillId="0" fontId="12" numFmtId="0" xfId="0" applyBorder="1" applyFont="1"/>
    <xf borderId="2" fillId="0" fontId="10" numFmtId="0" xfId="0" applyBorder="1" applyFont="1"/>
    <xf borderId="0" fillId="0" fontId="8" numFmtId="0" xfId="0" applyFont="1"/>
    <xf borderId="0" fillId="0" fontId="13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12" numFmtId="0" xfId="0" applyFont="1"/>
    <xf borderId="0" fillId="0" fontId="14" numFmtId="0" xfId="0" applyFont="1"/>
    <xf borderId="0" fillId="0" fontId="8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2" fillId="0" fontId="13" numFmtId="0" xfId="0" applyBorder="1" applyFont="1"/>
    <xf borderId="2" fillId="0" fontId="13" numFmtId="0" xfId="0" applyAlignment="1" applyBorder="1" applyFont="1">
      <alignment horizontal="center"/>
    </xf>
    <xf borderId="3" fillId="0" fontId="8" numFmtId="0" xfId="0" applyAlignment="1" applyBorder="1" applyFont="1">
      <alignment horizontal="center" vertical="center"/>
    </xf>
    <xf borderId="3" fillId="0" fontId="13" numFmtId="0" xfId="0" applyBorder="1" applyFont="1"/>
    <xf borderId="4" fillId="0" fontId="8" numFmtId="0" xfId="0" applyAlignment="1" applyBorder="1" applyFont="1">
      <alignment horizontal="center"/>
    </xf>
    <xf borderId="4" fillId="0" fontId="13" numFmtId="0" xfId="0" applyBorder="1" applyFont="1"/>
    <xf borderId="4" fillId="0" fontId="13" numFmtId="0" xfId="0" applyAlignment="1" applyBorder="1" applyFont="1">
      <alignment horizontal="center"/>
    </xf>
    <xf borderId="0" fillId="0" fontId="15" numFmtId="0" xfId="0" applyFont="1"/>
    <xf borderId="2" fillId="0" fontId="15" numFmtId="0" xfId="0" applyBorder="1" applyFont="1"/>
    <xf borderId="3" fillId="0" fontId="13" numFmtId="0" xfId="0" applyAlignment="1" applyBorder="1" applyFont="1">
      <alignment horizontal="center"/>
    </xf>
    <xf borderId="2" fillId="0" fontId="8" numFmtId="0" xfId="0" applyAlignment="1" applyBorder="1" applyFont="1">
      <alignment horizontal="center" vertical="center"/>
    </xf>
    <xf borderId="0" fillId="0" fontId="16" numFmtId="0" xfId="0" applyFont="1"/>
    <xf borderId="2" fillId="0" fontId="16" numFmtId="0" xfId="0" applyBorder="1" applyFont="1"/>
    <xf borderId="2" fillId="0" fontId="14" numFmtId="0" xfId="0" applyBorder="1" applyFont="1"/>
    <xf borderId="0" fillId="0" fontId="13" numFmtId="0" xfId="0" applyAlignment="1" applyFont="1">
      <alignment horizontal="left" readingOrder="1" vertical="center"/>
    </xf>
    <xf borderId="0" fillId="0" fontId="13" numFmtId="0" xfId="0" applyAlignment="1" applyFont="1">
      <alignment horizontal="center" vertical="center"/>
    </xf>
    <xf borderId="0" fillId="0" fontId="17" numFmtId="0" xfId="0" applyAlignment="1" applyFont="1">
      <alignment horizontal="left" readingOrder="1" vertical="center"/>
    </xf>
    <xf borderId="5" fillId="0" fontId="8" numFmtId="0" xfId="0" applyBorder="1" applyFont="1"/>
    <xf borderId="5" fillId="0" fontId="16" numFmtId="0" xfId="0" applyBorder="1" applyFont="1"/>
    <xf borderId="0" fillId="0" fontId="16" numFmtId="0" xfId="0" applyAlignment="1" applyFont="1">
      <alignment shrinkToFit="0" wrapText="1"/>
    </xf>
    <xf borderId="6" fillId="0" fontId="13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0" fillId="0" fontId="13" numFmtId="0" xfId="0" applyAlignment="1" applyFont="1">
      <alignment horizontal="left" vertical="center"/>
    </xf>
    <xf borderId="6" fillId="0" fontId="13" numFmtId="0" xfId="0" applyAlignment="1" applyBorder="1" applyFont="1">
      <alignment horizontal="left"/>
    </xf>
    <xf borderId="6" fillId="0" fontId="13" numFmtId="0" xfId="0" applyBorder="1" applyFont="1"/>
    <xf borderId="0" fillId="0" fontId="8" numFmtId="0" xfId="0" applyAlignment="1" applyFont="1">
      <alignment horizontal="center"/>
    </xf>
    <xf borderId="0" fillId="0" fontId="13" numFmtId="0" xfId="0" applyAlignment="1" applyFont="1">
      <alignment horizontal="left"/>
    </xf>
    <xf borderId="5" fillId="0" fontId="13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5" fillId="0" fontId="13" numFmtId="0" xfId="0" applyAlignment="1" applyBorder="1" applyFont="1">
      <alignment horizontal="left"/>
    </xf>
    <xf borderId="5" fillId="0" fontId="13" numFmtId="0" xfId="0" applyBorder="1" applyFont="1"/>
    <xf borderId="0" fillId="0" fontId="13" numFmtId="0" xfId="0" applyAlignment="1" applyFont="1">
      <alignment shrinkToFit="0" wrapText="1"/>
    </xf>
    <xf borderId="0" fillId="0" fontId="8" numFmtId="0" xfId="0" applyAlignment="1" applyFont="1">
      <alignment horizontal="left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22</xdr:row>
      <xdr:rowOff>200025</xdr:rowOff>
    </xdr:from>
    <xdr:ext cx="7581900" cy="2924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.33"/>
    <col customWidth="1" min="2" max="2" width="178.67"/>
    <col customWidth="1" min="3" max="26" width="8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6"/>
      <c r="B4" s="9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6"/>
      <c r="B5" s="9" t="s">
        <v>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6"/>
      <c r="B6" s="9" t="s">
        <v>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6"/>
      <c r="B7" s="10" t="s">
        <v>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6"/>
      <c r="B8" s="10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6"/>
      <c r="B9" s="10" t="s">
        <v>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6"/>
      <c r="B10" s="10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6"/>
      <c r="B11" s="11" t="s">
        <v>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6"/>
      <c r="B12" s="12" t="s">
        <v>10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6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9"/>
      <c r="B14" s="7" t="s">
        <v>11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9" t="s">
        <v>12</v>
      </c>
      <c r="B15" s="9" t="s">
        <v>13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9"/>
      <c r="B16" s="9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9"/>
      <c r="B17" s="9" t="s">
        <v>15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9"/>
      <c r="B18" s="9" t="s">
        <v>16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9" t="s">
        <v>17</v>
      </c>
      <c r="B19" s="9" t="s">
        <v>18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9"/>
      <c r="B20" s="9" t="s">
        <v>19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/>
      <c r="B21" s="9" t="s">
        <v>20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 t="s">
        <v>21</v>
      </c>
      <c r="B22" s="9" t="s">
        <v>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/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/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/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/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/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9"/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/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9"/>
      <c r="B31" s="9"/>
      <c r="C31" s="8"/>
      <c r="D31" s="8"/>
      <c r="E31" s="8"/>
      <c r="F31" s="8"/>
      <c r="G31" s="8"/>
      <c r="H31" s="8"/>
      <c r="I31" s="8"/>
      <c r="J31" s="1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"/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"/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9"/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9"/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9"/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/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9"/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20.78"/>
    <col customWidth="1" min="3" max="3" width="2.78"/>
    <col customWidth="1" min="4" max="4" width="17.67"/>
    <col customWidth="1" min="5" max="5" width="38.11"/>
    <col customWidth="1" min="6" max="6" width="52.89"/>
    <col customWidth="1" min="7" max="7" width="6.44"/>
    <col customWidth="1" min="8" max="26" width="11.0"/>
  </cols>
  <sheetData>
    <row r="1">
      <c r="A1" s="14" t="s">
        <v>23</v>
      </c>
      <c r="B1" s="14" t="s">
        <v>24</v>
      </c>
      <c r="C1" s="15"/>
      <c r="D1" s="16" t="s">
        <v>25</v>
      </c>
      <c r="E1" s="17"/>
      <c r="F1" s="17"/>
      <c r="G1" s="18"/>
      <c r="H1" s="19" t="s">
        <v>26</v>
      </c>
      <c r="I1" s="19"/>
      <c r="J1" s="18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0"/>
      <c r="B2" s="20"/>
      <c r="C2" s="22"/>
      <c r="D2" s="23" t="s">
        <v>27</v>
      </c>
      <c r="E2" s="23" t="s">
        <v>28</v>
      </c>
      <c r="F2" s="23" t="s">
        <v>29</v>
      </c>
      <c r="G2" s="24"/>
      <c r="H2" s="23" t="s">
        <v>30</v>
      </c>
      <c r="I2" s="23" t="s">
        <v>31</v>
      </c>
      <c r="J2" s="24"/>
      <c r="K2" s="25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6">
        <v>1.0</v>
      </c>
      <c r="B3" s="26">
        <v>3.428489E7</v>
      </c>
      <c r="C3" s="21"/>
      <c r="D3" s="27">
        <v>3.4283044E7</v>
      </c>
      <c r="E3" s="27" t="s">
        <v>32</v>
      </c>
      <c r="F3" s="27" t="s">
        <v>33</v>
      </c>
      <c r="G3" s="21"/>
      <c r="H3" s="21">
        <f>B3-2000</f>
        <v>34282890</v>
      </c>
      <c r="I3" s="21">
        <f>B3+2000</f>
        <v>34286890</v>
      </c>
      <c r="J3" s="21" t="s">
        <v>34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C4" s="21"/>
      <c r="D4" s="27">
        <v>3.4283153E7</v>
      </c>
      <c r="E4" s="27" t="s">
        <v>33</v>
      </c>
      <c r="F4" s="27" t="s">
        <v>35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C5" s="21"/>
      <c r="D5" s="27">
        <v>3.4283164E7</v>
      </c>
      <c r="E5" s="27" t="s">
        <v>35</v>
      </c>
      <c r="F5" s="27" t="s">
        <v>32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C6" s="21"/>
      <c r="D6" s="27">
        <v>3.4285335E7</v>
      </c>
      <c r="E6" s="27" t="s">
        <v>32</v>
      </c>
      <c r="F6" s="27" t="s">
        <v>33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C7" s="21"/>
      <c r="D7" s="27">
        <v>3.428579E7</v>
      </c>
      <c r="E7" s="27" t="s">
        <v>33</v>
      </c>
      <c r="F7" s="27" t="s">
        <v>35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C8" s="21"/>
      <c r="D8" s="27" t="s">
        <v>36</v>
      </c>
      <c r="E8" s="27" t="s">
        <v>37</v>
      </c>
      <c r="F8" s="27" t="s">
        <v>33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7"/>
      <c r="B9" s="17"/>
      <c r="C9" s="28"/>
      <c r="D9" s="29">
        <v>3.4286718E7</v>
      </c>
      <c r="E9" s="29" t="s">
        <v>35</v>
      </c>
      <c r="F9" s="29" t="s">
        <v>33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0">
        <v>1.0</v>
      </c>
      <c r="B10" s="30">
        <v>1.79755193E8</v>
      </c>
      <c r="C10" s="21"/>
      <c r="D10" s="27">
        <v>1.79753692E8</v>
      </c>
      <c r="E10" s="27" t="s">
        <v>32</v>
      </c>
      <c r="F10" s="27" t="s">
        <v>38</v>
      </c>
      <c r="G10" s="21"/>
      <c r="H10" s="21">
        <f>B10-2000</f>
        <v>179753193</v>
      </c>
      <c r="I10" s="21">
        <f>B10+2000</f>
        <v>179757193</v>
      </c>
      <c r="J10" s="21" t="s">
        <v>39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0" customHeight="1">
      <c r="C11" s="21"/>
      <c r="D11" s="27">
        <v>1.7975392E8</v>
      </c>
      <c r="E11" s="27" t="s">
        <v>38</v>
      </c>
      <c r="F11" s="27" t="s">
        <v>35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17"/>
      <c r="B12" s="17"/>
      <c r="C12" s="28"/>
      <c r="D12" s="29">
        <v>1.79754956E8</v>
      </c>
      <c r="E12" s="29" t="s">
        <v>38</v>
      </c>
      <c r="F12" s="29" t="s">
        <v>32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0">
        <v>2.0</v>
      </c>
      <c r="B13" s="30">
        <v>6.0493183E7</v>
      </c>
      <c r="C13" s="21"/>
      <c r="D13" s="27">
        <v>6.0491212E7</v>
      </c>
      <c r="E13" s="27" t="s">
        <v>33</v>
      </c>
      <c r="F13" s="27" t="s">
        <v>32</v>
      </c>
      <c r="G13" s="21"/>
      <c r="H13" s="21">
        <f>B13-2000</f>
        <v>60491183</v>
      </c>
      <c r="I13" s="21">
        <f>B13+2000</f>
        <v>60495183</v>
      </c>
      <c r="J13" s="21" t="s">
        <v>40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C14" s="21"/>
      <c r="D14" s="27">
        <v>6.0491689E7</v>
      </c>
      <c r="E14" s="27" t="s">
        <v>38</v>
      </c>
      <c r="F14" s="27" t="s">
        <v>41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C15" s="21"/>
      <c r="D15" s="27">
        <v>6.0491939E7</v>
      </c>
      <c r="E15" s="27" t="s">
        <v>33</v>
      </c>
      <c r="F15" s="27" t="s">
        <v>32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C16" s="21"/>
      <c r="D16" s="27">
        <v>6.0492055E7</v>
      </c>
      <c r="E16" s="27" t="s">
        <v>38</v>
      </c>
      <c r="F16" s="27" t="s">
        <v>35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C17" s="21"/>
      <c r="D17" s="27">
        <v>6.0492368E7</v>
      </c>
      <c r="E17" s="27" t="s">
        <v>35</v>
      </c>
      <c r="F17" s="27" t="s">
        <v>42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C18" s="21"/>
      <c r="D18" s="27">
        <v>6.0492615E7</v>
      </c>
      <c r="E18" s="27" t="s">
        <v>33</v>
      </c>
      <c r="F18" s="27" t="s">
        <v>43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C19" s="21"/>
      <c r="D19" s="27">
        <v>6.0492835E7</v>
      </c>
      <c r="E19" s="27" t="s">
        <v>33</v>
      </c>
      <c r="F19" s="27" t="s">
        <v>35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C20" s="21"/>
      <c r="D20" s="27">
        <v>6.0493111E7</v>
      </c>
      <c r="E20" s="27" t="s">
        <v>33</v>
      </c>
      <c r="F20" s="27" t="s">
        <v>32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C21" s="21"/>
      <c r="D21" s="27">
        <v>6.0493454E7</v>
      </c>
      <c r="E21" s="27" t="s">
        <v>35</v>
      </c>
      <c r="F21" s="27" t="s">
        <v>38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C22" s="21"/>
      <c r="D22" s="27">
        <v>6.0493622E7</v>
      </c>
      <c r="E22" s="27" t="s">
        <v>38</v>
      </c>
      <c r="F22" s="27" t="s">
        <v>35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C23" s="21"/>
      <c r="D23" s="27">
        <v>6.0493816E7</v>
      </c>
      <c r="E23" s="27" t="s">
        <v>35</v>
      </c>
      <c r="F23" s="27" t="s">
        <v>38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C24" s="21"/>
      <c r="D24" s="27">
        <v>6.0494176E7</v>
      </c>
      <c r="E24" s="27" t="s">
        <v>35</v>
      </c>
      <c r="F24" s="27" t="s">
        <v>38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17"/>
      <c r="B25" s="17"/>
      <c r="C25" s="28"/>
      <c r="D25" s="29">
        <v>6.0494212E7</v>
      </c>
      <c r="E25" s="29" t="s">
        <v>38</v>
      </c>
      <c r="F25" s="29" t="s">
        <v>35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0">
        <v>2.0</v>
      </c>
      <c r="B26" s="30">
        <v>2.05376392E8</v>
      </c>
      <c r="C26" s="21"/>
      <c r="D26" s="27">
        <v>2.05375097E8</v>
      </c>
      <c r="E26" s="27" t="s">
        <v>38</v>
      </c>
      <c r="F26" s="27" t="s">
        <v>35</v>
      </c>
      <c r="G26" s="21"/>
      <c r="H26" s="21">
        <f>B26-2000</f>
        <v>205374392</v>
      </c>
      <c r="I26" s="21">
        <f>B26+2000</f>
        <v>205378392</v>
      </c>
      <c r="J26" s="21" t="s">
        <v>44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C27" s="21"/>
      <c r="D27" s="27">
        <v>2.05376547E8</v>
      </c>
      <c r="E27" s="27" t="s">
        <v>38</v>
      </c>
      <c r="F27" s="27" t="s">
        <v>33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C28" s="21"/>
      <c r="D28" s="27" t="s">
        <v>45</v>
      </c>
      <c r="E28" s="27" t="s">
        <v>46</v>
      </c>
      <c r="F28" s="27" t="s">
        <v>35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7"/>
      <c r="B29" s="17"/>
      <c r="C29" s="28"/>
      <c r="D29" s="29">
        <v>2.05377857E8</v>
      </c>
      <c r="E29" s="29" t="s">
        <v>38</v>
      </c>
      <c r="F29" s="29" t="s">
        <v>35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0">
        <v>2.0</v>
      </c>
      <c r="B30" s="30">
        <v>4.9334343E7</v>
      </c>
      <c r="C30" s="21"/>
      <c r="D30" s="27">
        <v>4.9332382E7</v>
      </c>
      <c r="E30" s="27" t="s">
        <v>35</v>
      </c>
      <c r="F30" s="27" t="s">
        <v>38</v>
      </c>
      <c r="G30" s="21"/>
      <c r="H30" s="31">
        <f>B30-2000</f>
        <v>49332343</v>
      </c>
      <c r="I30" s="31">
        <f>B30+2000</f>
        <v>49336343</v>
      </c>
      <c r="J30" s="21" t="s">
        <v>47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C31" s="21"/>
      <c r="D31" s="27">
        <v>4.9332408E7</v>
      </c>
      <c r="E31" s="27" t="s">
        <v>35</v>
      </c>
      <c r="F31" s="27" t="s">
        <v>33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C32" s="21"/>
      <c r="D32" s="27">
        <v>4.9332579E7</v>
      </c>
      <c r="E32" s="27" t="s">
        <v>35</v>
      </c>
      <c r="F32" s="27" t="s">
        <v>38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C33" s="21"/>
      <c r="D33" s="27">
        <v>4.9332963E7</v>
      </c>
      <c r="E33" s="27" t="s">
        <v>35</v>
      </c>
      <c r="F33" s="27" t="s">
        <v>38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C34" s="21"/>
      <c r="D34" s="27">
        <v>4.9333239E7</v>
      </c>
      <c r="E34" s="27" t="s">
        <v>32</v>
      </c>
      <c r="F34" s="27" t="s">
        <v>33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C35" s="21"/>
      <c r="D35" s="27">
        <v>4.9333341E7</v>
      </c>
      <c r="E35" s="27" t="s">
        <v>35</v>
      </c>
      <c r="F35" s="27" t="s">
        <v>38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C36" s="21"/>
      <c r="D36" s="27">
        <v>4.9333391E7</v>
      </c>
      <c r="E36" s="27" t="s">
        <v>35</v>
      </c>
      <c r="F36" s="27" t="s">
        <v>38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C37" s="21"/>
      <c r="D37" s="27">
        <v>4.9333604E7</v>
      </c>
      <c r="E37" s="27" t="s">
        <v>35</v>
      </c>
      <c r="F37" s="27" t="s">
        <v>32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C38" s="21"/>
      <c r="D38" s="27">
        <v>4.9334005E7</v>
      </c>
      <c r="E38" s="27" t="s">
        <v>35</v>
      </c>
      <c r="F38" s="27" t="s">
        <v>33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C39" s="21"/>
      <c r="D39" s="27">
        <v>4.9334608E7</v>
      </c>
      <c r="E39" s="27" t="s">
        <v>32</v>
      </c>
      <c r="F39" s="27" t="s">
        <v>33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C40" s="21"/>
      <c r="D40" s="27">
        <v>4.933484E7</v>
      </c>
      <c r="E40" s="27" t="s">
        <v>35</v>
      </c>
      <c r="F40" s="27" t="s">
        <v>32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C41" s="21"/>
      <c r="D41" s="27">
        <v>4.9335043E7</v>
      </c>
      <c r="E41" s="27" t="s">
        <v>32</v>
      </c>
      <c r="F41" s="27" t="s">
        <v>33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C42" s="21"/>
      <c r="D42" s="27">
        <v>4.9335086E7</v>
      </c>
      <c r="E42" s="27" t="s">
        <v>35</v>
      </c>
      <c r="F42" s="27" t="s">
        <v>38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C43" s="21"/>
      <c r="D43" s="27">
        <v>4.9335217E7</v>
      </c>
      <c r="E43" s="27" t="s">
        <v>32</v>
      </c>
      <c r="F43" s="27" t="s">
        <v>38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C44" s="21"/>
      <c r="D44" s="27">
        <v>4.9335307E7</v>
      </c>
      <c r="E44" s="27" t="s">
        <v>35</v>
      </c>
      <c r="F44" s="27" t="s">
        <v>48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C45" s="21"/>
      <c r="D45" s="27">
        <v>4.9335397E7</v>
      </c>
      <c r="E45" s="27" t="s">
        <v>33</v>
      </c>
      <c r="F45" s="27" t="s">
        <v>32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C46" s="21"/>
      <c r="D46" s="27">
        <v>4.9335566E7</v>
      </c>
      <c r="E46" s="27" t="s">
        <v>38</v>
      </c>
      <c r="F46" s="27" t="s">
        <v>35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C47" s="21"/>
      <c r="D47" s="27" t="s">
        <v>49</v>
      </c>
      <c r="E47" s="27" t="s">
        <v>50</v>
      </c>
      <c r="F47" s="27" t="s">
        <v>51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17"/>
      <c r="B48" s="17"/>
      <c r="C48" s="28"/>
      <c r="D48" s="29">
        <v>4.9335793E7</v>
      </c>
      <c r="E48" s="29" t="s">
        <v>35</v>
      </c>
      <c r="F48" s="29" t="s">
        <v>38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0">
        <v>3.0</v>
      </c>
      <c r="B49" s="30">
        <v>1.015563E7</v>
      </c>
      <c r="C49" s="21"/>
      <c r="D49" s="27">
        <v>1.0153723E7</v>
      </c>
      <c r="E49" s="27" t="s">
        <v>32</v>
      </c>
      <c r="F49" s="27" t="s">
        <v>33</v>
      </c>
      <c r="G49" s="21"/>
      <c r="H49" s="21">
        <f>B49-2000</f>
        <v>10153630</v>
      </c>
      <c r="I49" s="21">
        <f>B49+2000</f>
        <v>10157630</v>
      </c>
      <c r="J49" s="21" t="s">
        <v>52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C50" s="21"/>
      <c r="D50" s="27">
        <v>1.0153801E7</v>
      </c>
      <c r="E50" s="27" t="s">
        <v>35</v>
      </c>
      <c r="F50" s="27" t="s">
        <v>33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C51" s="21"/>
      <c r="D51" s="27">
        <v>1.015402E7</v>
      </c>
      <c r="E51" s="27" t="s">
        <v>33</v>
      </c>
      <c r="F51" s="27" t="s">
        <v>32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C52" s="21"/>
      <c r="D52" s="27">
        <v>1.015422E7</v>
      </c>
      <c r="E52" s="27" t="s">
        <v>38</v>
      </c>
      <c r="F52" s="27" t="s">
        <v>35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C53" s="21"/>
      <c r="D53" s="27">
        <v>1.0154678E7</v>
      </c>
      <c r="E53" s="27" t="s">
        <v>38</v>
      </c>
      <c r="F53" s="27" t="s">
        <v>35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C54" s="21"/>
      <c r="D54" s="27">
        <v>1.0155259E7</v>
      </c>
      <c r="E54" s="27" t="s">
        <v>33</v>
      </c>
      <c r="F54" s="27" t="s">
        <v>35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C55" s="21"/>
      <c r="D55" s="27">
        <v>1.0156516E7</v>
      </c>
      <c r="E55" s="27" t="s">
        <v>33</v>
      </c>
      <c r="F55" s="27" t="s">
        <v>38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C56" s="21"/>
      <c r="D56" s="27">
        <v>1.0156524E7</v>
      </c>
      <c r="E56" s="27" t="s">
        <v>32</v>
      </c>
      <c r="F56" s="27" t="s">
        <v>38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C57" s="21"/>
      <c r="D57" s="27">
        <v>1.0156887E7</v>
      </c>
      <c r="E57" s="27" t="s">
        <v>35</v>
      </c>
      <c r="F57" s="27" t="s">
        <v>38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C58" s="21"/>
      <c r="D58" s="27">
        <v>1.0156854E7</v>
      </c>
      <c r="E58" s="27" t="s">
        <v>33</v>
      </c>
      <c r="F58" s="27" t="s">
        <v>32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17"/>
      <c r="B59" s="17"/>
      <c r="C59" s="28"/>
      <c r="D59" s="29" t="s">
        <v>53</v>
      </c>
      <c r="E59" s="29" t="s">
        <v>54</v>
      </c>
      <c r="F59" s="29" t="s">
        <v>33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30">
        <v>3.0</v>
      </c>
      <c r="B60" s="30">
        <v>5.682973E7</v>
      </c>
      <c r="C60" s="21"/>
      <c r="D60" s="27">
        <v>5.6828313E7</v>
      </c>
      <c r="E60" s="27" t="s">
        <v>35</v>
      </c>
      <c r="F60" s="27" t="s">
        <v>33</v>
      </c>
      <c r="G60" s="21"/>
      <c r="H60" s="21">
        <f>B60-2000</f>
        <v>56827730</v>
      </c>
      <c r="I60" s="21">
        <f>B60+2000</f>
        <v>56831730</v>
      </c>
      <c r="J60" s="21" t="s">
        <v>55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C61" s="21"/>
      <c r="D61" s="27">
        <v>5.6828362E7</v>
      </c>
      <c r="E61" s="27" t="s">
        <v>32</v>
      </c>
      <c r="F61" s="27" t="s">
        <v>33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C62" s="21"/>
      <c r="D62" s="27">
        <v>5.6829375E7</v>
      </c>
      <c r="E62" s="27" t="s">
        <v>33</v>
      </c>
      <c r="F62" s="27" t="s">
        <v>32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C63" s="21"/>
      <c r="D63" s="27">
        <v>5.6830319E7</v>
      </c>
      <c r="E63" s="27" t="s">
        <v>32</v>
      </c>
      <c r="F63" s="27" t="s">
        <v>33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C64" s="21"/>
      <c r="D64" s="27">
        <v>5.6830392E7</v>
      </c>
      <c r="E64" s="27" t="s">
        <v>35</v>
      </c>
      <c r="F64" s="27" t="s">
        <v>32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C65" s="21"/>
      <c r="D65" s="27">
        <v>5.6831053E7</v>
      </c>
      <c r="E65" s="27" t="s">
        <v>32</v>
      </c>
      <c r="F65" s="27" t="s">
        <v>35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C66" s="21"/>
      <c r="D66" s="27">
        <v>5.6831417E7</v>
      </c>
      <c r="E66" s="27" t="s">
        <v>32</v>
      </c>
      <c r="F66" s="27" t="s">
        <v>33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17"/>
      <c r="B67" s="17"/>
      <c r="C67" s="28"/>
      <c r="D67" s="29">
        <v>5.6831546E7</v>
      </c>
      <c r="E67" s="29" t="s">
        <v>32</v>
      </c>
      <c r="F67" s="29" t="s">
        <v>33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0">
        <v>3.0</v>
      </c>
      <c r="B68" s="30">
        <v>4.954469E7</v>
      </c>
      <c r="C68" s="21"/>
      <c r="D68" s="27">
        <v>4.9544126E7</v>
      </c>
      <c r="E68" s="27" t="s">
        <v>33</v>
      </c>
      <c r="F68" s="27" t="s">
        <v>35</v>
      </c>
      <c r="G68" s="21"/>
      <c r="H68" s="21">
        <f>B68-2000</f>
        <v>49542690</v>
      </c>
      <c r="I68" s="21">
        <f>B68+2000</f>
        <v>49546690</v>
      </c>
      <c r="J68" s="21" t="s">
        <v>56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C69" s="21"/>
      <c r="D69" s="27">
        <v>4.9545244E7</v>
      </c>
      <c r="E69" s="27" t="s">
        <v>32</v>
      </c>
      <c r="F69" s="27" t="s">
        <v>33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17"/>
      <c r="B70" s="17"/>
      <c r="C70" s="28"/>
      <c r="D70" s="29">
        <v>4.9545561E7</v>
      </c>
      <c r="E70" s="29" t="s">
        <v>32</v>
      </c>
      <c r="F70" s="29" t="s">
        <v>33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30">
        <v>3.0</v>
      </c>
      <c r="B71" s="30">
        <v>1.2243134E8</v>
      </c>
      <c r="C71" s="21"/>
      <c r="D71" s="27">
        <v>1.22430338E8</v>
      </c>
      <c r="E71" s="27" t="s">
        <v>35</v>
      </c>
      <c r="F71" s="27" t="s">
        <v>38</v>
      </c>
      <c r="G71" s="21"/>
      <c r="H71" s="21">
        <f>B71-2000</f>
        <v>122429340</v>
      </c>
      <c r="I71" s="21">
        <f>B71+2000</f>
        <v>122433340</v>
      </c>
      <c r="J71" s="21" t="s">
        <v>57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C72" s="21"/>
      <c r="D72" s="27">
        <v>1.22430449E8</v>
      </c>
      <c r="E72" s="27" t="s">
        <v>33</v>
      </c>
      <c r="F72" s="27" t="s">
        <v>38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C73" s="21"/>
      <c r="D73" s="27">
        <v>1.22430767E8</v>
      </c>
      <c r="E73" s="27" t="s">
        <v>35</v>
      </c>
      <c r="F73" s="27" t="s">
        <v>38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C74" s="21"/>
      <c r="D74" s="27">
        <v>1.22431007E8</v>
      </c>
      <c r="E74" s="27" t="s">
        <v>33</v>
      </c>
      <c r="F74" s="27" t="s">
        <v>32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C75" s="21"/>
      <c r="D75" s="27">
        <v>1.22431437E8</v>
      </c>
      <c r="E75" s="27" t="s">
        <v>35</v>
      </c>
      <c r="F75" s="27" t="s">
        <v>38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C76" s="21"/>
      <c r="D76" s="27">
        <v>1.22431449E8</v>
      </c>
      <c r="E76" s="27" t="s">
        <v>35</v>
      </c>
      <c r="F76" s="27" t="s">
        <v>38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C77" s="21"/>
      <c r="D77" s="27">
        <v>1.22431805E8</v>
      </c>
      <c r="E77" s="27" t="s">
        <v>33</v>
      </c>
      <c r="F77" s="27" t="s">
        <v>58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17"/>
      <c r="B78" s="17"/>
      <c r="C78" s="28"/>
      <c r="D78" s="29">
        <v>1.22432045E8</v>
      </c>
      <c r="E78" s="29" t="s">
        <v>35</v>
      </c>
      <c r="F78" s="29" t="s">
        <v>38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2">
        <v>3.0</v>
      </c>
      <c r="B79" s="32">
        <v>1.28140299E8</v>
      </c>
      <c r="C79" s="33"/>
      <c r="D79" s="34" t="s">
        <v>59</v>
      </c>
      <c r="E79" s="34" t="s">
        <v>59</v>
      </c>
      <c r="F79" s="34" t="s">
        <v>59</v>
      </c>
      <c r="G79" s="33"/>
      <c r="H79" s="33">
        <f t="shared" ref="H79:H81" si="1">B79-2000</f>
        <v>128138299</v>
      </c>
      <c r="I79" s="33">
        <f t="shared" ref="I79:I81" si="2">B79+2000</f>
        <v>128142299</v>
      </c>
      <c r="J79" s="33" t="s">
        <v>60</v>
      </c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2">
        <v>3.0</v>
      </c>
      <c r="B80" s="32">
        <v>1.62794345E8</v>
      </c>
      <c r="C80" s="33"/>
      <c r="D80" s="34">
        <v>1.62793351E8</v>
      </c>
      <c r="E80" s="34" t="s">
        <v>33</v>
      </c>
      <c r="F80" s="34" t="s">
        <v>35</v>
      </c>
      <c r="G80" s="33"/>
      <c r="H80" s="33">
        <f t="shared" si="1"/>
        <v>162792345</v>
      </c>
      <c r="I80" s="33">
        <f t="shared" si="2"/>
        <v>162796345</v>
      </c>
      <c r="J80" s="33" t="s">
        <v>61</v>
      </c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0">
        <v>4.0</v>
      </c>
      <c r="B81" s="30">
        <v>6.5429453E7</v>
      </c>
      <c r="C81" s="21"/>
      <c r="D81" s="27">
        <v>6.5427801E7</v>
      </c>
      <c r="E81" s="27" t="s">
        <v>33</v>
      </c>
      <c r="F81" s="27" t="s">
        <v>32</v>
      </c>
      <c r="G81" s="21"/>
      <c r="H81" s="21">
        <f t="shared" si="1"/>
        <v>65427453</v>
      </c>
      <c r="I81" s="21">
        <f t="shared" si="2"/>
        <v>65431453</v>
      </c>
      <c r="J81" s="21" t="s">
        <v>62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C82" s="21"/>
      <c r="D82" s="27">
        <v>6.5428931E7</v>
      </c>
      <c r="E82" s="27" t="s">
        <v>38</v>
      </c>
      <c r="F82" s="27" t="s">
        <v>35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C83" s="21"/>
      <c r="D83" s="27">
        <v>6.5430494E7</v>
      </c>
      <c r="E83" s="27" t="s">
        <v>32</v>
      </c>
      <c r="F83" s="27" t="s">
        <v>33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17"/>
      <c r="B84" s="17"/>
      <c r="C84" s="28"/>
      <c r="D84" s="29">
        <v>6.5431011E7</v>
      </c>
      <c r="E84" s="29" t="s">
        <v>33</v>
      </c>
      <c r="F84" s="29" t="s">
        <v>38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0">
        <v>4.0</v>
      </c>
      <c r="B85" s="30">
        <v>8.5410007E7</v>
      </c>
      <c r="C85" s="35"/>
      <c r="D85" s="27">
        <v>8.5409665E7</v>
      </c>
      <c r="E85" s="27" t="s">
        <v>33</v>
      </c>
      <c r="F85" s="27" t="s">
        <v>35</v>
      </c>
      <c r="G85" s="21"/>
      <c r="H85" s="21">
        <f>B85-2000</f>
        <v>85408007</v>
      </c>
      <c r="I85" s="21">
        <f>B85+2000</f>
        <v>85412007</v>
      </c>
      <c r="J85" s="21" t="s">
        <v>63</v>
      </c>
      <c r="K85" s="21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C86" s="35"/>
      <c r="D86" s="27">
        <v>8.5409704E7</v>
      </c>
      <c r="E86" s="27" t="s">
        <v>33</v>
      </c>
      <c r="F86" s="27" t="s">
        <v>32</v>
      </c>
      <c r="G86" s="21"/>
      <c r="H86" s="21"/>
      <c r="I86" s="21"/>
      <c r="J86" s="21"/>
      <c r="K86" s="21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C87" s="35"/>
      <c r="D87" s="27">
        <v>8.5409866E7</v>
      </c>
      <c r="E87" s="27" t="s">
        <v>35</v>
      </c>
      <c r="F87" s="27" t="s">
        <v>33</v>
      </c>
      <c r="G87" s="21"/>
      <c r="H87" s="21"/>
      <c r="I87" s="21"/>
      <c r="J87" s="21"/>
      <c r="K87" s="21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C88" s="35"/>
      <c r="D88" s="27">
        <v>8.5410051E7</v>
      </c>
      <c r="E88" s="27" t="s">
        <v>33</v>
      </c>
      <c r="F88" s="27" t="s">
        <v>32</v>
      </c>
      <c r="G88" s="21"/>
      <c r="H88" s="21"/>
      <c r="I88" s="21"/>
      <c r="J88" s="21"/>
      <c r="K88" s="21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C89" s="35"/>
      <c r="D89" s="27">
        <v>8.5410076E7</v>
      </c>
      <c r="E89" s="27" t="s">
        <v>38</v>
      </c>
      <c r="F89" s="27" t="s">
        <v>35</v>
      </c>
      <c r="G89" s="21"/>
      <c r="H89" s="21"/>
      <c r="I89" s="21"/>
      <c r="J89" s="21"/>
      <c r="K89" s="21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C90" s="35"/>
      <c r="D90" s="27">
        <v>8.5410162E7</v>
      </c>
      <c r="E90" s="27" t="s">
        <v>32</v>
      </c>
      <c r="F90" s="27" t="s">
        <v>33</v>
      </c>
      <c r="G90" s="21"/>
      <c r="H90" s="21"/>
      <c r="I90" s="21"/>
      <c r="J90" s="21"/>
      <c r="K90" s="21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C91" s="35"/>
      <c r="D91" s="27" t="s">
        <v>64</v>
      </c>
      <c r="E91" s="27" t="s">
        <v>65</v>
      </c>
      <c r="F91" s="27" t="s">
        <v>32</v>
      </c>
      <c r="G91" s="21"/>
      <c r="H91" s="21"/>
      <c r="I91" s="21"/>
      <c r="J91" s="21"/>
      <c r="K91" s="21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C92" s="35"/>
      <c r="D92" s="27">
        <v>8.5410216E7</v>
      </c>
      <c r="E92" s="27" t="s">
        <v>33</v>
      </c>
      <c r="F92" s="27" t="s">
        <v>32</v>
      </c>
      <c r="G92" s="21"/>
      <c r="H92" s="21"/>
      <c r="I92" s="21"/>
      <c r="J92" s="21"/>
      <c r="K92" s="21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C93" s="35"/>
      <c r="D93" s="27">
        <v>8.5410262E7</v>
      </c>
      <c r="E93" s="27" t="s">
        <v>35</v>
      </c>
      <c r="F93" s="27" t="s">
        <v>32</v>
      </c>
      <c r="G93" s="21"/>
      <c r="H93" s="21"/>
      <c r="I93" s="21"/>
      <c r="J93" s="21"/>
      <c r="K93" s="21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C94" s="35"/>
      <c r="D94" s="27">
        <v>8.5410327E7</v>
      </c>
      <c r="E94" s="27" t="s">
        <v>32</v>
      </c>
      <c r="F94" s="27" t="s">
        <v>33</v>
      </c>
      <c r="G94" s="21"/>
      <c r="H94" s="21"/>
      <c r="I94" s="21"/>
      <c r="J94" s="21"/>
      <c r="K94" s="21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C95" s="35"/>
      <c r="D95" s="27">
        <v>8.5410399E7</v>
      </c>
      <c r="E95" s="27" t="s">
        <v>35</v>
      </c>
      <c r="F95" s="27" t="s">
        <v>66</v>
      </c>
      <c r="G95" s="21"/>
      <c r="H95" s="21"/>
      <c r="I95" s="21"/>
      <c r="J95" s="21"/>
      <c r="K95" s="21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C96" s="35"/>
      <c r="D96" s="27">
        <v>8.5410556E7</v>
      </c>
      <c r="E96" s="27" t="s">
        <v>32</v>
      </c>
      <c r="F96" s="27" t="s">
        <v>33</v>
      </c>
      <c r="G96" s="21"/>
      <c r="H96" s="21"/>
      <c r="I96" s="21"/>
      <c r="J96" s="21"/>
      <c r="K96" s="21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C97" s="35"/>
      <c r="D97" s="27">
        <v>8.5410595E7</v>
      </c>
      <c r="E97" s="27" t="s">
        <v>33</v>
      </c>
      <c r="F97" s="27" t="s">
        <v>32</v>
      </c>
      <c r="G97" s="21"/>
      <c r="H97" s="21"/>
      <c r="I97" s="21"/>
      <c r="J97" s="21"/>
      <c r="K97" s="21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C98" s="35"/>
      <c r="D98" s="27">
        <v>8.5410771E7</v>
      </c>
      <c r="E98" s="27" t="s">
        <v>32</v>
      </c>
      <c r="F98" s="27" t="s">
        <v>35</v>
      </c>
      <c r="G98" s="21"/>
      <c r="H98" s="21"/>
      <c r="I98" s="21"/>
      <c r="J98" s="21"/>
      <c r="K98" s="21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C99" s="35"/>
      <c r="D99" s="27">
        <v>8.5410785E7</v>
      </c>
      <c r="E99" s="27" t="s">
        <v>32</v>
      </c>
      <c r="F99" s="27" t="s">
        <v>35</v>
      </c>
      <c r="G99" s="21"/>
      <c r="H99" s="21"/>
      <c r="I99" s="21"/>
      <c r="J99" s="21"/>
      <c r="K99" s="21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C100" s="35"/>
      <c r="D100" s="27" t="s">
        <v>67</v>
      </c>
      <c r="E100" s="27" t="s">
        <v>51</v>
      </c>
      <c r="F100" s="27" t="s">
        <v>50</v>
      </c>
      <c r="G100" s="21"/>
      <c r="H100" s="21"/>
      <c r="I100" s="21"/>
      <c r="J100" s="21"/>
      <c r="K100" s="21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C101" s="35"/>
      <c r="D101" s="27" t="s">
        <v>68</v>
      </c>
      <c r="E101" s="27" t="s">
        <v>69</v>
      </c>
      <c r="F101" s="27" t="s">
        <v>38</v>
      </c>
      <c r="G101" s="21"/>
      <c r="H101" s="21"/>
      <c r="I101" s="21"/>
      <c r="J101" s="21"/>
      <c r="K101" s="21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C102" s="35"/>
      <c r="D102" s="27">
        <v>8.5411261E7</v>
      </c>
      <c r="E102" s="27" t="s">
        <v>33</v>
      </c>
      <c r="F102" s="27" t="s">
        <v>38</v>
      </c>
      <c r="G102" s="21"/>
      <c r="H102" s="21"/>
      <c r="I102" s="21"/>
      <c r="J102" s="21"/>
      <c r="K102" s="21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17"/>
      <c r="B103" s="17"/>
      <c r="C103" s="36"/>
      <c r="D103" s="29">
        <v>8.5411683E7</v>
      </c>
      <c r="E103" s="29" t="s">
        <v>33</v>
      </c>
      <c r="F103" s="29" t="s">
        <v>38</v>
      </c>
      <c r="G103" s="28"/>
      <c r="H103" s="28"/>
      <c r="I103" s="28"/>
      <c r="J103" s="28"/>
      <c r="K103" s="28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0">
        <v>4.0</v>
      </c>
      <c r="B104" s="30">
        <v>1.02842899E8</v>
      </c>
      <c r="C104" s="21"/>
      <c r="D104" s="27">
        <v>1.02843052E8</v>
      </c>
      <c r="E104" s="27" t="s">
        <v>35</v>
      </c>
      <c r="F104" s="27" t="s">
        <v>38</v>
      </c>
      <c r="G104" s="21"/>
      <c r="H104" s="21">
        <f>B104-2000</f>
        <v>102840899</v>
      </c>
      <c r="I104" s="21">
        <f>B104+2000</f>
        <v>102844899</v>
      </c>
      <c r="J104" s="21" t="s">
        <v>70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C105" s="21"/>
      <c r="D105" s="27">
        <v>1.02843676E8</v>
      </c>
      <c r="E105" s="27" t="s">
        <v>35</v>
      </c>
      <c r="F105" s="27" t="s">
        <v>71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C106" s="21"/>
      <c r="D106" s="27">
        <v>1.02843836E8</v>
      </c>
      <c r="E106" s="27" t="s">
        <v>35</v>
      </c>
      <c r="F106" s="27" t="s">
        <v>38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C107" s="21"/>
      <c r="D107" s="27">
        <v>1.02843999E8</v>
      </c>
      <c r="E107" s="27" t="s">
        <v>35</v>
      </c>
      <c r="F107" s="27" t="s">
        <v>38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17"/>
      <c r="B108" s="17"/>
      <c r="C108" s="28"/>
      <c r="D108" s="29">
        <v>1.02844759E8</v>
      </c>
      <c r="E108" s="29" t="s">
        <v>38</v>
      </c>
      <c r="F108" s="29" t="s">
        <v>35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0">
        <v>5.0</v>
      </c>
      <c r="B109" s="30">
        <v>1.18532528E8</v>
      </c>
      <c r="C109" s="21"/>
      <c r="D109" s="27">
        <v>1.18530533E8</v>
      </c>
      <c r="E109" s="27" t="s">
        <v>33</v>
      </c>
      <c r="F109" s="27" t="s">
        <v>35</v>
      </c>
      <c r="G109" s="21"/>
      <c r="H109" s="21">
        <f>B109-2000</f>
        <v>118530528</v>
      </c>
      <c r="I109" s="21">
        <f>B109+2000</f>
        <v>118534528</v>
      </c>
      <c r="J109" s="21" t="s">
        <v>72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C110" s="21"/>
      <c r="D110" s="27">
        <v>1.18530989E8</v>
      </c>
      <c r="E110" s="27" t="s">
        <v>32</v>
      </c>
      <c r="F110" s="27" t="s">
        <v>33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C111" s="21"/>
      <c r="D111" s="27">
        <v>1.18531402E8</v>
      </c>
      <c r="E111" s="27" t="s">
        <v>35</v>
      </c>
      <c r="F111" s="27" t="s">
        <v>38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C112" s="21"/>
      <c r="D112" s="27">
        <v>1.18531407E8</v>
      </c>
      <c r="E112" s="27" t="s">
        <v>33</v>
      </c>
      <c r="F112" s="27" t="s">
        <v>32</v>
      </c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C113" s="21"/>
      <c r="D113" s="27">
        <v>1.18531496E8</v>
      </c>
      <c r="E113" s="27" t="s">
        <v>33</v>
      </c>
      <c r="F113" s="27" t="s">
        <v>32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C114" s="21"/>
      <c r="D114" s="27">
        <v>1.18531523E8</v>
      </c>
      <c r="E114" s="27" t="s">
        <v>35</v>
      </c>
      <c r="F114" s="27" t="s">
        <v>38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C115" s="21"/>
      <c r="D115" s="27">
        <v>1.18534411E8</v>
      </c>
      <c r="E115" s="27" t="s">
        <v>33</v>
      </c>
      <c r="F115" s="27" t="s">
        <v>32</v>
      </c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17"/>
      <c r="B116" s="17"/>
      <c r="C116" s="28"/>
      <c r="D116" s="29">
        <v>1.18534501E8</v>
      </c>
      <c r="E116" s="29" t="s">
        <v>35</v>
      </c>
      <c r="F116" s="29" t="s">
        <v>33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0">
        <v>6.0</v>
      </c>
      <c r="B117" s="30">
        <v>1.0062378E7</v>
      </c>
      <c r="C117" s="21"/>
      <c r="D117" s="27">
        <v>1.0062621E7</v>
      </c>
      <c r="E117" s="27" t="s">
        <v>35</v>
      </c>
      <c r="F117" s="27" t="s">
        <v>38</v>
      </c>
      <c r="G117" s="21"/>
      <c r="H117" s="21">
        <f>B117-2000</f>
        <v>10060378</v>
      </c>
      <c r="I117" s="21">
        <f>B117+2000</f>
        <v>10064378</v>
      </c>
      <c r="J117" s="21" t="s">
        <v>73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C118" s="21"/>
      <c r="D118" s="27">
        <v>1.0062721E7</v>
      </c>
      <c r="E118" s="27" t="s">
        <v>33</v>
      </c>
      <c r="F118" s="27" t="s">
        <v>32</v>
      </c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C119" s="21"/>
      <c r="D119" s="27">
        <v>1.0062869E7</v>
      </c>
      <c r="E119" s="27" t="s">
        <v>32</v>
      </c>
      <c r="F119" s="27" t="s">
        <v>38</v>
      </c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C120" s="21"/>
      <c r="D120" s="27">
        <v>1.0062953E7</v>
      </c>
      <c r="E120" s="27" t="s">
        <v>35</v>
      </c>
      <c r="F120" s="27" t="s">
        <v>38</v>
      </c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C121" s="21"/>
      <c r="D121" s="27">
        <v>1.0063106E7</v>
      </c>
      <c r="E121" s="27" t="s">
        <v>38</v>
      </c>
      <c r="F121" s="27" t="s">
        <v>35</v>
      </c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C122" s="21"/>
      <c r="D122" s="27">
        <v>1.0063142E7</v>
      </c>
      <c r="E122" s="27" t="s">
        <v>33</v>
      </c>
      <c r="F122" s="27" t="s">
        <v>38</v>
      </c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C123" s="21"/>
      <c r="D123" s="27">
        <v>1.006334E7</v>
      </c>
      <c r="E123" s="27" t="s">
        <v>35</v>
      </c>
      <c r="F123" s="27" t="s">
        <v>32</v>
      </c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C124" s="21"/>
      <c r="D124" s="27">
        <v>1.006338E7</v>
      </c>
      <c r="E124" s="27" t="s">
        <v>35</v>
      </c>
      <c r="F124" s="27" t="s">
        <v>38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C125" s="21"/>
      <c r="D125" s="27">
        <v>1.0063499E7</v>
      </c>
      <c r="E125" s="27" t="s">
        <v>32</v>
      </c>
      <c r="F125" s="27" t="s">
        <v>33</v>
      </c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C126" s="21"/>
      <c r="D126" s="27">
        <v>1.0063899E7</v>
      </c>
      <c r="E126" s="27" t="s">
        <v>33</v>
      </c>
      <c r="F126" s="27" t="s">
        <v>32</v>
      </c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C127" s="21"/>
      <c r="D127" s="27">
        <v>1.0064E7</v>
      </c>
      <c r="E127" s="27" t="s">
        <v>32</v>
      </c>
      <c r="F127" s="27" t="s">
        <v>33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17"/>
      <c r="B128" s="17"/>
      <c r="C128" s="28"/>
      <c r="D128" s="29">
        <v>1.006409E7</v>
      </c>
      <c r="E128" s="29" t="s">
        <v>32</v>
      </c>
      <c r="F128" s="29" t="s">
        <v>33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0">
        <v>6.0</v>
      </c>
      <c r="B129" s="30">
        <v>8.5616567E7</v>
      </c>
      <c r="C129" s="21"/>
      <c r="D129" s="27" t="s">
        <v>74</v>
      </c>
      <c r="E129" s="27" t="s">
        <v>33</v>
      </c>
      <c r="F129" s="27" t="s">
        <v>32</v>
      </c>
      <c r="G129" s="21"/>
      <c r="H129" s="21">
        <f>B129-2000</f>
        <v>85614567</v>
      </c>
      <c r="I129" s="21">
        <f>B129+2000</f>
        <v>85618567</v>
      </c>
      <c r="J129" s="21" t="s">
        <v>75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17"/>
      <c r="B130" s="17"/>
      <c r="C130" s="28"/>
      <c r="D130" s="29" t="s">
        <v>76</v>
      </c>
      <c r="E130" s="29" t="s">
        <v>32</v>
      </c>
      <c r="F130" s="29" t="s">
        <v>33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0">
        <v>6.0</v>
      </c>
      <c r="B131" s="30">
        <v>6.9539787E7</v>
      </c>
      <c r="C131" s="21"/>
      <c r="D131" s="27">
        <v>6.953812E7</v>
      </c>
      <c r="E131" s="27" t="s">
        <v>32</v>
      </c>
      <c r="F131" s="27" t="s">
        <v>77</v>
      </c>
      <c r="G131" s="21"/>
      <c r="H131" s="21">
        <f>B131-2000</f>
        <v>69537787</v>
      </c>
      <c r="I131" s="21">
        <f>B131+2000</f>
        <v>69541787</v>
      </c>
      <c r="J131" s="21" t="s">
        <v>78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C132" s="21"/>
      <c r="D132" s="27">
        <v>6.9538451E7</v>
      </c>
      <c r="E132" s="27" t="s">
        <v>32</v>
      </c>
      <c r="F132" s="27" t="s">
        <v>38</v>
      </c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0" customHeight="1">
      <c r="C133" s="21"/>
      <c r="D133" s="27">
        <v>6.9538453E7</v>
      </c>
      <c r="E133" s="27" t="s">
        <v>33</v>
      </c>
      <c r="F133" s="27" t="s">
        <v>32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0" customHeight="1">
      <c r="C134" s="21"/>
      <c r="D134" s="27">
        <v>6.9538782E7</v>
      </c>
      <c r="E134" s="27" t="s">
        <v>32</v>
      </c>
      <c r="F134" s="27" t="s">
        <v>33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0" customHeight="1">
      <c r="C135" s="21"/>
      <c r="D135" s="27">
        <v>6.9539914E7</v>
      </c>
      <c r="E135" s="27" t="s">
        <v>32</v>
      </c>
      <c r="F135" s="27" t="s">
        <v>79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0" customHeight="1">
      <c r="C136" s="21"/>
      <c r="D136" s="27">
        <v>6.9540296E7</v>
      </c>
      <c r="E136" s="27" t="s">
        <v>35</v>
      </c>
      <c r="F136" s="27" t="s">
        <v>38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0" customHeight="1">
      <c r="C137" s="21"/>
      <c r="D137" s="27">
        <v>6.9540837E7</v>
      </c>
      <c r="E137" s="27" t="s">
        <v>33</v>
      </c>
      <c r="F137" s="27" t="s">
        <v>32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0" customHeight="1">
      <c r="C138" s="21"/>
      <c r="D138" s="27">
        <v>6.9541219E7</v>
      </c>
      <c r="E138" s="27" t="s">
        <v>35</v>
      </c>
      <c r="F138" s="27" t="s">
        <v>33</v>
      </c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17"/>
      <c r="B139" s="17"/>
      <c r="C139" s="28"/>
      <c r="D139" s="29">
        <v>6.9541612E7</v>
      </c>
      <c r="E139" s="29" t="s">
        <v>38</v>
      </c>
      <c r="F139" s="29" t="s">
        <v>35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2">
        <v>6.0</v>
      </c>
      <c r="B140" s="32">
        <v>1.5576009E8</v>
      </c>
      <c r="C140" s="33"/>
      <c r="D140" s="34">
        <v>1.55758925E8</v>
      </c>
      <c r="E140" s="34" t="s">
        <v>35</v>
      </c>
      <c r="F140" s="34" t="s">
        <v>33</v>
      </c>
      <c r="G140" s="33"/>
      <c r="H140" s="33">
        <f t="shared" ref="H140:H141" si="3">B140-2000</f>
        <v>155758090</v>
      </c>
      <c r="I140" s="33">
        <f t="shared" ref="I140:I141" si="4">B140+2000</f>
        <v>155762090</v>
      </c>
      <c r="J140" s="33" t="s">
        <v>80</v>
      </c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6.5" customHeight="1">
      <c r="A141" s="30">
        <v>7.0</v>
      </c>
      <c r="B141" s="30">
        <v>1.41668038E8</v>
      </c>
      <c r="C141" s="31"/>
      <c r="D141" s="37">
        <v>1.41666711E8</v>
      </c>
      <c r="E141" s="37" t="s">
        <v>35</v>
      </c>
      <c r="F141" s="37" t="s">
        <v>32</v>
      </c>
      <c r="G141" s="31"/>
      <c r="H141" s="31">
        <f t="shared" si="3"/>
        <v>141666038</v>
      </c>
      <c r="I141" s="31">
        <f t="shared" si="4"/>
        <v>141670038</v>
      </c>
      <c r="J141" s="31" t="s">
        <v>81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6.5" customHeight="1">
      <c r="C142" s="21"/>
      <c r="D142" s="27">
        <v>1.41666839E8</v>
      </c>
      <c r="E142" s="27" t="s">
        <v>35</v>
      </c>
      <c r="F142" s="27" t="s">
        <v>38</v>
      </c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6.5" customHeight="1">
      <c r="C143" s="21"/>
      <c r="D143" s="27">
        <v>1.41666987E8</v>
      </c>
      <c r="E143" s="27" t="s">
        <v>32</v>
      </c>
      <c r="F143" s="27" t="s">
        <v>33</v>
      </c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6.5" customHeight="1">
      <c r="C144" s="21"/>
      <c r="D144" s="27">
        <v>1.41667328E8</v>
      </c>
      <c r="E144" s="27" t="s">
        <v>38</v>
      </c>
      <c r="F144" s="27" t="s">
        <v>35</v>
      </c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6.5" customHeight="1">
      <c r="C145" s="21"/>
      <c r="D145" s="27" t="s">
        <v>82</v>
      </c>
      <c r="E145" s="27" t="s">
        <v>83</v>
      </c>
      <c r="F145" s="27" t="s">
        <v>33</v>
      </c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6.5" customHeight="1">
      <c r="C146" s="21"/>
      <c r="D146" s="27">
        <v>1.41667619E8</v>
      </c>
      <c r="E146" s="27" t="s">
        <v>32</v>
      </c>
      <c r="F146" s="27" t="s">
        <v>38</v>
      </c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6.5" customHeight="1">
      <c r="C147" s="21"/>
      <c r="D147" s="27">
        <v>1.41667711E8</v>
      </c>
      <c r="E147" s="27" t="s">
        <v>32</v>
      </c>
      <c r="F147" s="27" t="s">
        <v>33</v>
      </c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6.5" customHeight="1">
      <c r="C148" s="21"/>
      <c r="D148" s="27">
        <v>1.41667782E8</v>
      </c>
      <c r="E148" s="27" t="s">
        <v>32</v>
      </c>
      <c r="F148" s="27" t="s">
        <v>33</v>
      </c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6.5" customHeight="1">
      <c r="C149" s="21"/>
      <c r="D149" s="27">
        <v>1.41667876E8</v>
      </c>
      <c r="E149" s="27" t="s">
        <v>35</v>
      </c>
      <c r="F149" s="27" t="s">
        <v>33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6.5" customHeight="1">
      <c r="C150" s="21"/>
      <c r="D150" s="27">
        <v>1.41667903E8</v>
      </c>
      <c r="E150" s="27" t="s">
        <v>33</v>
      </c>
      <c r="F150" s="27" t="s">
        <v>32</v>
      </c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6.5" customHeight="1">
      <c r="C151" s="21"/>
      <c r="D151" s="27">
        <v>1.41668113E8</v>
      </c>
      <c r="E151" s="27" t="s">
        <v>32</v>
      </c>
      <c r="F151" s="27" t="s">
        <v>33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6.5" customHeight="1">
      <c r="C152" s="21"/>
      <c r="D152" s="27">
        <v>1.41668197E8</v>
      </c>
      <c r="E152" s="27" t="s">
        <v>32</v>
      </c>
      <c r="F152" s="27" t="s">
        <v>33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6.5" customHeight="1">
      <c r="C153" s="21"/>
      <c r="D153" s="27">
        <v>1.41668203E8</v>
      </c>
      <c r="E153" s="27" t="s">
        <v>35</v>
      </c>
      <c r="F153" s="27" t="s">
        <v>32</v>
      </c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6.5" customHeight="1">
      <c r="C154" s="21"/>
      <c r="D154" s="27" t="s">
        <v>84</v>
      </c>
      <c r="E154" s="27" t="s">
        <v>50</v>
      </c>
      <c r="F154" s="27" t="s">
        <v>32</v>
      </c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6.5" customHeight="1">
      <c r="C155" s="21"/>
      <c r="D155" s="27">
        <v>1.416685E8</v>
      </c>
      <c r="E155" s="27" t="s">
        <v>32</v>
      </c>
      <c r="F155" s="27" t="s">
        <v>33</v>
      </c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6.5" customHeight="1">
      <c r="C156" s="21"/>
      <c r="D156" s="27">
        <v>1.41668509E8</v>
      </c>
      <c r="E156" s="27" t="s">
        <v>33</v>
      </c>
      <c r="F156" s="27" t="s">
        <v>38</v>
      </c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6.5" customHeight="1">
      <c r="C157" s="21"/>
      <c r="D157" s="27">
        <v>1.41668541E8</v>
      </c>
      <c r="E157" s="27" t="s">
        <v>35</v>
      </c>
      <c r="F157" s="27" t="s">
        <v>38</v>
      </c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6.5" customHeight="1">
      <c r="C158" s="21"/>
      <c r="D158" s="27">
        <v>1.416686E8</v>
      </c>
      <c r="E158" s="27" t="s">
        <v>33</v>
      </c>
      <c r="F158" s="27" t="s">
        <v>51</v>
      </c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6.5" customHeight="1">
      <c r="C159" s="21"/>
      <c r="D159" s="27">
        <v>1.41668786E8</v>
      </c>
      <c r="E159" s="27" t="s">
        <v>33</v>
      </c>
      <c r="F159" s="27" t="s">
        <v>38</v>
      </c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6.5" customHeight="1">
      <c r="C160" s="21"/>
      <c r="D160" s="27">
        <v>1.41668865E8</v>
      </c>
      <c r="E160" s="27" t="s">
        <v>33</v>
      </c>
      <c r="F160" s="27" t="s">
        <v>85</v>
      </c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6.5" customHeight="1">
      <c r="C161" s="21"/>
      <c r="D161" s="27">
        <v>1.41669038E8</v>
      </c>
      <c r="E161" s="27" t="s">
        <v>32</v>
      </c>
      <c r="F161" s="27" t="s">
        <v>35</v>
      </c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6.5" customHeight="1">
      <c r="C162" s="21"/>
      <c r="D162" s="27">
        <v>1.41669207E8</v>
      </c>
      <c r="E162" s="27" t="s">
        <v>35</v>
      </c>
      <c r="F162" s="27" t="s">
        <v>38</v>
      </c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6.5" customHeight="1">
      <c r="C163" s="21"/>
      <c r="D163" s="27" t="s">
        <v>86</v>
      </c>
      <c r="E163" s="27" t="s">
        <v>87</v>
      </c>
      <c r="F163" s="27" t="s">
        <v>35</v>
      </c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6.5" customHeight="1">
      <c r="A164" s="17"/>
      <c r="B164" s="17"/>
      <c r="C164" s="28"/>
      <c r="D164" s="29">
        <v>1.41669809E8</v>
      </c>
      <c r="E164" s="29" t="s">
        <v>35</v>
      </c>
      <c r="F164" s="29" t="s">
        <v>88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0">
        <v>7.0</v>
      </c>
      <c r="B165" s="30">
        <v>9.2111998E7</v>
      </c>
      <c r="C165" s="21"/>
      <c r="D165" s="27" t="s">
        <v>89</v>
      </c>
      <c r="E165" s="27" t="s">
        <v>38</v>
      </c>
      <c r="F165" s="27" t="s">
        <v>35</v>
      </c>
      <c r="G165" s="21"/>
      <c r="H165" s="21">
        <f>B165-2000</f>
        <v>92109998</v>
      </c>
      <c r="I165" s="21">
        <f>B165+2000</f>
        <v>92113998</v>
      </c>
      <c r="J165" s="21" t="s">
        <v>90</v>
      </c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17"/>
      <c r="B166" s="17"/>
      <c r="C166" s="28"/>
      <c r="D166" s="29">
        <v>9.2111818E7</v>
      </c>
      <c r="E166" s="29" t="s">
        <v>32</v>
      </c>
      <c r="F166" s="29" t="s">
        <v>33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2">
        <v>7.0</v>
      </c>
      <c r="B167" s="32">
        <v>1.6132148E7</v>
      </c>
      <c r="C167" s="33"/>
      <c r="D167" s="34" t="s">
        <v>59</v>
      </c>
      <c r="E167" s="34" t="s">
        <v>59</v>
      </c>
      <c r="F167" s="34" t="s">
        <v>59</v>
      </c>
      <c r="G167" s="33"/>
      <c r="H167" s="33">
        <f t="shared" ref="H167:H168" si="5">B167-2000</f>
        <v>16130148</v>
      </c>
      <c r="I167" s="33">
        <f t="shared" ref="I167:I168" si="6">B167+2000</f>
        <v>16134148</v>
      </c>
      <c r="J167" s="33" t="s">
        <v>91</v>
      </c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0">
        <v>9.0</v>
      </c>
      <c r="B168" s="30">
        <v>8.2999205E7</v>
      </c>
      <c r="C168" s="21"/>
      <c r="D168" s="27">
        <v>8.2997513E7</v>
      </c>
      <c r="E168" s="27" t="s">
        <v>38</v>
      </c>
      <c r="F168" s="27" t="s">
        <v>33</v>
      </c>
      <c r="G168" s="21"/>
      <c r="H168" s="21">
        <f t="shared" si="5"/>
        <v>82997205</v>
      </c>
      <c r="I168" s="21">
        <f t="shared" si="6"/>
        <v>83001205</v>
      </c>
      <c r="J168" s="21" t="s">
        <v>92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C169" s="21"/>
      <c r="D169" s="27">
        <v>8.2997546E7</v>
      </c>
      <c r="E169" s="27" t="s">
        <v>35</v>
      </c>
      <c r="F169" s="27" t="s">
        <v>38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C170" s="21"/>
      <c r="D170" s="27">
        <v>8.2997618E7</v>
      </c>
      <c r="E170" s="27" t="s">
        <v>32</v>
      </c>
      <c r="F170" s="27" t="s">
        <v>38</v>
      </c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C171" s="21"/>
      <c r="D171" s="27">
        <v>8.2997956E7</v>
      </c>
      <c r="E171" s="27" t="s">
        <v>35</v>
      </c>
      <c r="F171" s="27" t="s">
        <v>38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C172" s="21"/>
      <c r="D172" s="27">
        <v>8.2998128E7</v>
      </c>
      <c r="E172" s="27" t="s">
        <v>35</v>
      </c>
      <c r="F172" s="27" t="s">
        <v>38</v>
      </c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C173" s="21"/>
      <c r="D173" s="27">
        <v>8.2999096E7</v>
      </c>
      <c r="E173" s="27" t="s">
        <v>35</v>
      </c>
      <c r="F173" s="27" t="s">
        <v>93</v>
      </c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C174" s="21"/>
      <c r="D174" s="27">
        <v>8.299938E7</v>
      </c>
      <c r="E174" s="27" t="s">
        <v>33</v>
      </c>
      <c r="F174" s="27" t="s">
        <v>32</v>
      </c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C175" s="21"/>
      <c r="D175" s="27">
        <v>8.2999442E7</v>
      </c>
      <c r="E175" s="27" t="s">
        <v>32</v>
      </c>
      <c r="F175" s="27" t="s">
        <v>38</v>
      </c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C176" s="21"/>
      <c r="D176" s="27" t="s">
        <v>94</v>
      </c>
      <c r="E176" s="27" t="s">
        <v>95</v>
      </c>
      <c r="F176" s="27" t="s">
        <v>38</v>
      </c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17"/>
      <c r="B177" s="17"/>
      <c r="C177" s="28"/>
      <c r="D177" s="29" t="s">
        <v>96</v>
      </c>
      <c r="E177" s="29" t="s">
        <v>97</v>
      </c>
      <c r="F177" s="29" t="s">
        <v>98</v>
      </c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30">
        <v>9.0</v>
      </c>
      <c r="B178" s="30">
        <v>1.0163173E7</v>
      </c>
      <c r="C178" s="21"/>
      <c r="D178" s="27">
        <v>1.0162016E7</v>
      </c>
      <c r="E178" s="27" t="s">
        <v>32</v>
      </c>
      <c r="F178" s="27" t="s">
        <v>33</v>
      </c>
      <c r="G178" s="21"/>
      <c r="H178" s="21">
        <f>B178-2000</f>
        <v>10161173</v>
      </c>
      <c r="I178" s="21">
        <f>B178+2000</f>
        <v>10165173</v>
      </c>
      <c r="J178" s="21" t="s">
        <v>99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17"/>
      <c r="B179" s="17"/>
      <c r="C179" s="28"/>
      <c r="D179" s="29">
        <v>1.0164807E7</v>
      </c>
      <c r="E179" s="29" t="s">
        <v>32</v>
      </c>
      <c r="F179" s="29" t="s">
        <v>38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30">
        <v>10.0</v>
      </c>
      <c r="B180" s="30">
        <v>6.4540084E7</v>
      </c>
      <c r="C180" s="21"/>
      <c r="D180" s="27" t="s">
        <v>100</v>
      </c>
      <c r="E180" s="27" t="s">
        <v>87</v>
      </c>
      <c r="F180" s="27" t="s">
        <v>35</v>
      </c>
      <c r="G180" s="21"/>
      <c r="H180" s="21">
        <f>B180-2000</f>
        <v>64538084</v>
      </c>
      <c r="I180" s="21">
        <f>B180+2000</f>
        <v>64542084</v>
      </c>
      <c r="J180" s="21" t="s">
        <v>101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C181" s="21"/>
      <c r="D181" s="27">
        <v>6.4539429E7</v>
      </c>
      <c r="E181" s="27" t="s">
        <v>33</v>
      </c>
      <c r="F181" s="27" t="s">
        <v>32</v>
      </c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C182" s="21"/>
      <c r="D182" s="27">
        <v>6.4540014E7</v>
      </c>
      <c r="E182" s="27" t="s">
        <v>38</v>
      </c>
      <c r="F182" s="27" t="s">
        <v>35</v>
      </c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17"/>
      <c r="B183" s="17"/>
      <c r="C183" s="28"/>
      <c r="D183" s="29">
        <v>6.4541932E7</v>
      </c>
      <c r="E183" s="29" t="s">
        <v>32</v>
      </c>
      <c r="F183" s="29" t="s">
        <v>33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0">
        <v>10.0</v>
      </c>
      <c r="B184" s="30">
        <v>7.993608E7</v>
      </c>
      <c r="C184" s="21"/>
      <c r="D184" s="27">
        <v>7.9935003E7</v>
      </c>
      <c r="E184" s="27" t="s">
        <v>38</v>
      </c>
      <c r="F184" s="27" t="s">
        <v>32</v>
      </c>
      <c r="G184" s="21"/>
      <c r="H184" s="21">
        <f>B184-2000</f>
        <v>79934080</v>
      </c>
      <c r="I184" s="21">
        <f>B184+2000</f>
        <v>79938080</v>
      </c>
      <c r="J184" s="21" t="s">
        <v>102</v>
      </c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C185" s="21"/>
      <c r="D185" s="27">
        <v>7.9935194E7</v>
      </c>
      <c r="E185" s="27" t="s">
        <v>38</v>
      </c>
      <c r="F185" s="27" t="s">
        <v>35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C186" s="21"/>
      <c r="D186" s="27">
        <v>7.9935276E7</v>
      </c>
      <c r="E186" s="27" t="s">
        <v>38</v>
      </c>
      <c r="F186" s="27" t="s">
        <v>35</v>
      </c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C187" s="21"/>
      <c r="D187" s="27">
        <v>7.9935452E7</v>
      </c>
      <c r="E187" s="27" t="s">
        <v>35</v>
      </c>
      <c r="F187" s="27" t="s">
        <v>38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C188" s="21"/>
      <c r="D188" s="27">
        <v>7.9935622E7</v>
      </c>
      <c r="E188" s="27" t="s">
        <v>32</v>
      </c>
      <c r="F188" s="27" t="s">
        <v>50</v>
      </c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C189" s="21"/>
      <c r="D189" s="27">
        <v>7.9935626E7</v>
      </c>
      <c r="E189" s="27" t="s">
        <v>32</v>
      </c>
      <c r="F189" s="27" t="s">
        <v>35</v>
      </c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C190" s="21"/>
      <c r="D190" s="27">
        <v>7.9936986E7</v>
      </c>
      <c r="E190" s="27" t="s">
        <v>38</v>
      </c>
      <c r="F190" s="27" t="s">
        <v>35</v>
      </c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C191" s="21"/>
      <c r="D191" s="27">
        <v>7.9937163E7</v>
      </c>
      <c r="E191" s="27" t="s">
        <v>38</v>
      </c>
      <c r="F191" s="27" t="s">
        <v>35</v>
      </c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C192" s="21"/>
      <c r="D192" s="27">
        <v>7.9937368E7</v>
      </c>
      <c r="E192" s="27" t="s">
        <v>35</v>
      </c>
      <c r="F192" s="27" t="s">
        <v>38</v>
      </c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C193" s="21"/>
      <c r="D193" s="27" t="s">
        <v>103</v>
      </c>
      <c r="E193" s="27" t="s">
        <v>104</v>
      </c>
      <c r="F193" s="27" t="s">
        <v>33</v>
      </c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17"/>
      <c r="B194" s="17"/>
      <c r="C194" s="28"/>
      <c r="D194" s="29">
        <v>7.9937517E7</v>
      </c>
      <c r="E194" s="29" t="s">
        <v>32</v>
      </c>
      <c r="F194" s="29" t="s">
        <v>33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8">
        <v>10.0</v>
      </c>
      <c r="B195" s="38">
        <v>8.0764617E7</v>
      </c>
      <c r="C195" s="28"/>
      <c r="D195" s="29" t="s">
        <v>59</v>
      </c>
      <c r="E195" s="29" t="s">
        <v>59</v>
      </c>
      <c r="F195" s="29" t="s">
        <v>59</v>
      </c>
      <c r="G195" s="28"/>
      <c r="H195" s="28">
        <f t="shared" ref="H195:H196" si="7">B195-2000</f>
        <v>80762617</v>
      </c>
      <c r="I195" s="28">
        <f t="shared" ref="I195:I196" si="8">B195+2000</f>
        <v>80766617</v>
      </c>
      <c r="J195" s="28" t="s">
        <v>105</v>
      </c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0">
        <v>12.0</v>
      </c>
      <c r="B196" s="30">
        <v>1.08765941E8</v>
      </c>
      <c r="C196" s="21"/>
      <c r="D196" s="27">
        <v>1.08765515E8</v>
      </c>
      <c r="E196" s="27" t="s">
        <v>38</v>
      </c>
      <c r="F196" s="27" t="s">
        <v>35</v>
      </c>
      <c r="G196" s="21"/>
      <c r="H196" s="21">
        <f t="shared" si="7"/>
        <v>108763941</v>
      </c>
      <c r="I196" s="21">
        <f t="shared" si="8"/>
        <v>108767941</v>
      </c>
      <c r="J196" s="21" t="s">
        <v>106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C197" s="21"/>
      <c r="D197" s="27">
        <v>1.08766597E8</v>
      </c>
      <c r="E197" s="27" t="s">
        <v>32</v>
      </c>
      <c r="F197" s="27" t="s">
        <v>33</v>
      </c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17"/>
      <c r="B198" s="17"/>
      <c r="C198" s="28"/>
      <c r="D198" s="29">
        <v>1.08767569E8</v>
      </c>
      <c r="E198" s="29" t="s">
        <v>35</v>
      </c>
      <c r="F198" s="29" t="s">
        <v>38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0">
        <v>12.0</v>
      </c>
      <c r="B199" s="30">
        <v>5.310582E7</v>
      </c>
      <c r="C199" s="35"/>
      <c r="D199" s="27">
        <v>5.3103914E7</v>
      </c>
      <c r="E199" s="27" t="s">
        <v>35</v>
      </c>
      <c r="F199" s="27" t="s">
        <v>38</v>
      </c>
      <c r="G199" s="21"/>
      <c r="H199" s="21">
        <f>B199-2000</f>
        <v>53103820</v>
      </c>
      <c r="I199" s="21">
        <f>B199+2000</f>
        <v>53107820</v>
      </c>
      <c r="J199" s="21" t="s">
        <v>107</v>
      </c>
      <c r="K199" s="39"/>
      <c r="L199" s="39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C200" s="35"/>
      <c r="D200" s="27">
        <v>5.3104017E7</v>
      </c>
      <c r="E200" s="27" t="s">
        <v>35</v>
      </c>
      <c r="F200" s="27" t="s">
        <v>38</v>
      </c>
      <c r="G200" s="21"/>
      <c r="H200" s="21"/>
      <c r="I200" s="21"/>
      <c r="J200" s="39"/>
      <c r="K200" s="39"/>
      <c r="L200" s="39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C201" s="35"/>
      <c r="D201" s="27">
        <v>5.3104143E7</v>
      </c>
      <c r="E201" s="27" t="s">
        <v>33</v>
      </c>
      <c r="F201" s="27" t="s">
        <v>38</v>
      </c>
      <c r="G201" s="21"/>
      <c r="H201" s="21"/>
      <c r="I201" s="21"/>
      <c r="J201" s="39"/>
      <c r="K201" s="39"/>
      <c r="L201" s="39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C202" s="35"/>
      <c r="D202" s="27" t="s">
        <v>108</v>
      </c>
      <c r="E202" s="27" t="s">
        <v>54</v>
      </c>
      <c r="F202" s="27" t="s">
        <v>33</v>
      </c>
      <c r="G202" s="21"/>
      <c r="H202" s="21"/>
      <c r="I202" s="21"/>
      <c r="J202" s="39"/>
      <c r="K202" s="39"/>
      <c r="L202" s="39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C203" s="35"/>
      <c r="D203" s="27">
        <v>5.3104404E7</v>
      </c>
      <c r="E203" s="27" t="s">
        <v>35</v>
      </c>
      <c r="F203" s="27" t="s">
        <v>38</v>
      </c>
      <c r="G203" s="21"/>
      <c r="H203" s="21"/>
      <c r="I203" s="21"/>
      <c r="J203" s="39"/>
      <c r="K203" s="39"/>
      <c r="L203" s="39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C204" s="35"/>
      <c r="D204" s="27">
        <v>5.3104529E7</v>
      </c>
      <c r="E204" s="27" t="s">
        <v>33</v>
      </c>
      <c r="F204" s="27" t="s">
        <v>35</v>
      </c>
      <c r="G204" s="21"/>
      <c r="H204" s="21"/>
      <c r="I204" s="21"/>
      <c r="J204" s="39"/>
      <c r="K204" s="39"/>
      <c r="L204" s="39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C205" s="35"/>
      <c r="D205" s="27">
        <v>5.3104941E7</v>
      </c>
      <c r="E205" s="27" t="s">
        <v>38</v>
      </c>
      <c r="F205" s="27" t="s">
        <v>35</v>
      </c>
      <c r="G205" s="21"/>
      <c r="H205" s="21"/>
      <c r="I205" s="21"/>
      <c r="J205" s="39"/>
      <c r="K205" s="39"/>
      <c r="L205" s="39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C206" s="35"/>
      <c r="D206" s="27" t="s">
        <v>109</v>
      </c>
      <c r="E206" s="27" t="s">
        <v>110</v>
      </c>
      <c r="F206" s="27" t="s">
        <v>32</v>
      </c>
      <c r="G206" s="21"/>
      <c r="H206" s="21"/>
      <c r="I206" s="21"/>
      <c r="J206" s="39"/>
      <c r="K206" s="39"/>
      <c r="L206" s="39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C207" s="35"/>
      <c r="D207" s="27">
        <v>5.3105E7</v>
      </c>
      <c r="E207" s="27" t="s">
        <v>35</v>
      </c>
      <c r="F207" s="27" t="s">
        <v>32</v>
      </c>
      <c r="G207" s="21"/>
      <c r="H207" s="21"/>
      <c r="I207" s="21"/>
      <c r="J207" s="39"/>
      <c r="K207" s="39"/>
      <c r="L207" s="39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C208" s="35"/>
      <c r="D208" s="27">
        <v>5.3105703E7</v>
      </c>
      <c r="E208" s="27" t="s">
        <v>33</v>
      </c>
      <c r="F208" s="27" t="s">
        <v>38</v>
      </c>
      <c r="G208" s="21"/>
      <c r="H208" s="21"/>
      <c r="I208" s="21"/>
      <c r="J208" s="39"/>
      <c r="K208" s="39"/>
      <c r="L208" s="39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C209" s="35"/>
      <c r="D209" s="27">
        <v>5.3105721E7</v>
      </c>
      <c r="E209" s="27" t="s">
        <v>35</v>
      </c>
      <c r="F209" s="27" t="s">
        <v>38</v>
      </c>
      <c r="G209" s="21"/>
      <c r="H209" s="21"/>
      <c r="I209" s="21"/>
      <c r="J209" s="39"/>
      <c r="K209" s="39"/>
      <c r="L209" s="39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C210" s="35"/>
      <c r="D210" s="27">
        <v>5.310575E7</v>
      </c>
      <c r="E210" s="27" t="s">
        <v>35</v>
      </c>
      <c r="F210" s="27" t="s">
        <v>38</v>
      </c>
      <c r="G210" s="21"/>
      <c r="H210" s="21"/>
      <c r="I210" s="21"/>
      <c r="J210" s="39"/>
      <c r="K210" s="39"/>
      <c r="L210" s="39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C211" s="35"/>
      <c r="D211" s="27">
        <v>5.3106232E7</v>
      </c>
      <c r="E211" s="27" t="s">
        <v>38</v>
      </c>
      <c r="F211" s="27" t="s">
        <v>35</v>
      </c>
      <c r="G211" s="21"/>
      <c r="H211" s="21"/>
      <c r="I211" s="21"/>
      <c r="J211" s="39"/>
      <c r="K211" s="39"/>
      <c r="L211" s="39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C212" s="35"/>
      <c r="D212" s="27">
        <v>5.3106237E7</v>
      </c>
      <c r="E212" s="27" t="s">
        <v>33</v>
      </c>
      <c r="F212" s="27" t="s">
        <v>32</v>
      </c>
      <c r="G212" s="21"/>
      <c r="H212" s="21"/>
      <c r="I212" s="21"/>
      <c r="J212" s="39"/>
      <c r="K212" s="39"/>
      <c r="L212" s="39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C213" s="35"/>
      <c r="D213" s="27" t="s">
        <v>111</v>
      </c>
      <c r="E213" s="27" t="s">
        <v>112</v>
      </c>
      <c r="F213" s="27" t="s">
        <v>35</v>
      </c>
      <c r="G213" s="21"/>
      <c r="H213" s="21"/>
      <c r="I213" s="21"/>
      <c r="J213" s="39"/>
      <c r="K213" s="39"/>
      <c r="L213" s="39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C214" s="35"/>
      <c r="D214" s="27">
        <v>5.3106361E7</v>
      </c>
      <c r="E214" s="27" t="s">
        <v>33</v>
      </c>
      <c r="F214" s="27" t="s">
        <v>32</v>
      </c>
      <c r="G214" s="21"/>
      <c r="H214" s="21"/>
      <c r="I214" s="21"/>
      <c r="J214" s="39"/>
      <c r="K214" s="39"/>
      <c r="L214" s="39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C215" s="35"/>
      <c r="D215" s="27">
        <v>5.3106483E7</v>
      </c>
      <c r="E215" s="27" t="s">
        <v>33</v>
      </c>
      <c r="F215" s="27" t="s">
        <v>38</v>
      </c>
      <c r="G215" s="21"/>
      <c r="H215" s="21"/>
      <c r="I215" s="21"/>
      <c r="J215" s="39"/>
      <c r="K215" s="39"/>
      <c r="L215" s="39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C216" s="35"/>
      <c r="D216" s="27">
        <v>5.3106562E7</v>
      </c>
      <c r="E216" s="27" t="s">
        <v>35</v>
      </c>
      <c r="F216" s="27" t="s">
        <v>33</v>
      </c>
      <c r="G216" s="21"/>
      <c r="H216" s="21"/>
      <c r="I216" s="21"/>
      <c r="J216" s="39"/>
      <c r="K216" s="39"/>
      <c r="L216" s="39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C217" s="35"/>
      <c r="D217" s="27">
        <v>5.3106876E7</v>
      </c>
      <c r="E217" s="27" t="s">
        <v>35</v>
      </c>
      <c r="F217" s="27" t="s">
        <v>38</v>
      </c>
      <c r="G217" s="21"/>
      <c r="H217" s="21"/>
      <c r="I217" s="21"/>
      <c r="J217" s="39"/>
      <c r="K217" s="39"/>
      <c r="L217" s="39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C218" s="35"/>
      <c r="D218" s="27" t="s">
        <v>113</v>
      </c>
      <c r="E218" s="27" t="s">
        <v>51</v>
      </c>
      <c r="F218" s="27" t="s">
        <v>50</v>
      </c>
      <c r="G218" s="21"/>
      <c r="H218" s="21"/>
      <c r="I218" s="21"/>
      <c r="J218" s="39"/>
      <c r="K218" s="39"/>
      <c r="L218" s="39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17"/>
      <c r="B219" s="17"/>
      <c r="C219" s="36"/>
      <c r="D219" s="29" t="s">
        <v>114</v>
      </c>
      <c r="E219" s="29" t="s">
        <v>115</v>
      </c>
      <c r="F219" s="29" t="s">
        <v>35</v>
      </c>
      <c r="G219" s="28"/>
      <c r="H219" s="28"/>
      <c r="I219" s="28"/>
      <c r="J219" s="40"/>
      <c r="K219" s="40"/>
      <c r="L219" s="40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32">
        <v>12.0</v>
      </c>
      <c r="B220" s="32">
        <v>3.8430542E7</v>
      </c>
      <c r="C220" s="33"/>
      <c r="D220" s="34" t="s">
        <v>59</v>
      </c>
      <c r="E220" s="34" t="s">
        <v>59</v>
      </c>
      <c r="F220" s="34" t="s">
        <v>59</v>
      </c>
      <c r="G220" s="33"/>
      <c r="H220" s="33">
        <f t="shared" ref="H220:H221" si="9">B220-2000</f>
        <v>38428542</v>
      </c>
      <c r="I220" s="33">
        <f t="shared" ref="I220:I221" si="10">B220+2000</f>
        <v>38432542</v>
      </c>
      <c r="J220" s="33" t="s">
        <v>116</v>
      </c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0">
        <v>13.0</v>
      </c>
      <c r="B221" s="30">
        <v>2.8421583E7</v>
      </c>
      <c r="C221" s="21"/>
      <c r="D221" s="27">
        <v>2.8419653E7</v>
      </c>
      <c r="E221" s="27" t="s">
        <v>35</v>
      </c>
      <c r="F221" s="27" t="s">
        <v>38</v>
      </c>
      <c r="G221" s="21"/>
      <c r="H221" s="21">
        <f t="shared" si="9"/>
        <v>28419583</v>
      </c>
      <c r="I221" s="21">
        <f t="shared" si="10"/>
        <v>28423583</v>
      </c>
      <c r="J221" s="21" t="s">
        <v>117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C222" s="21"/>
      <c r="D222" s="27">
        <v>2.8420518E7</v>
      </c>
      <c r="E222" s="27" t="s">
        <v>32</v>
      </c>
      <c r="F222" s="27" t="s">
        <v>33</v>
      </c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C223" s="21"/>
      <c r="D223" s="27">
        <v>2.8421253E7</v>
      </c>
      <c r="E223" s="27" t="s">
        <v>33</v>
      </c>
      <c r="F223" s="27" t="s">
        <v>32</v>
      </c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C224" s="21"/>
      <c r="D224" s="27">
        <v>2.8421493E7</v>
      </c>
      <c r="E224" s="27" t="s">
        <v>38</v>
      </c>
      <c r="F224" s="27" t="s">
        <v>35</v>
      </c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C225" s="21"/>
      <c r="D225" s="27" t="s">
        <v>118</v>
      </c>
      <c r="E225" s="27" t="s">
        <v>58</v>
      </c>
      <c r="F225" s="27" t="s">
        <v>33</v>
      </c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C226" s="21"/>
      <c r="D226" s="27">
        <v>2.8421572E7</v>
      </c>
      <c r="E226" s="27" t="s">
        <v>35</v>
      </c>
      <c r="F226" s="27" t="s">
        <v>38</v>
      </c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C227" s="21"/>
      <c r="D227" s="27">
        <v>2.8421803E7</v>
      </c>
      <c r="E227" s="27" t="s">
        <v>33</v>
      </c>
      <c r="F227" s="27" t="s">
        <v>32</v>
      </c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C228" s="21"/>
      <c r="D228" s="27">
        <v>2.8422281E7</v>
      </c>
      <c r="E228" s="27" t="s">
        <v>32</v>
      </c>
      <c r="F228" s="27" t="s">
        <v>35</v>
      </c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C229" s="21"/>
      <c r="D229" s="27" t="s">
        <v>119</v>
      </c>
      <c r="E229" s="27" t="s">
        <v>120</v>
      </c>
      <c r="F229" s="27" t="s">
        <v>32</v>
      </c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C230" s="21"/>
      <c r="D230" s="27">
        <v>2.8422327E7</v>
      </c>
      <c r="E230" s="27" t="s">
        <v>32</v>
      </c>
      <c r="F230" s="27" t="s">
        <v>35</v>
      </c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C231" s="21"/>
      <c r="D231" s="27">
        <v>2.8422431E7</v>
      </c>
      <c r="E231" s="27" t="s">
        <v>32</v>
      </c>
      <c r="F231" s="27" t="s">
        <v>33</v>
      </c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C232" s="21"/>
      <c r="D232" s="27">
        <v>2.8422467E7</v>
      </c>
      <c r="E232" s="27" t="s">
        <v>35</v>
      </c>
      <c r="F232" s="27" t="s">
        <v>33</v>
      </c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C233" s="21"/>
      <c r="D233" s="27">
        <v>2.8422823E7</v>
      </c>
      <c r="E233" s="27" t="s">
        <v>32</v>
      </c>
      <c r="F233" s="27" t="s">
        <v>33</v>
      </c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C234" s="21"/>
      <c r="D234" s="27">
        <v>2.8422915E7</v>
      </c>
      <c r="E234" s="27" t="s">
        <v>33</v>
      </c>
      <c r="F234" s="27" t="s">
        <v>32</v>
      </c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C235" s="21"/>
      <c r="D235" s="27">
        <v>2.8423263E7</v>
      </c>
      <c r="E235" s="27" t="s">
        <v>38</v>
      </c>
      <c r="F235" s="27" t="s">
        <v>35</v>
      </c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C236" s="21"/>
      <c r="D236" s="27">
        <v>2.8423426E7</v>
      </c>
      <c r="E236" s="27" t="s">
        <v>33</v>
      </c>
      <c r="F236" s="27" t="s">
        <v>32</v>
      </c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17"/>
      <c r="B237" s="17"/>
      <c r="C237" s="28"/>
      <c r="D237" s="29">
        <v>2.84235E7</v>
      </c>
      <c r="E237" s="29" t="s">
        <v>32</v>
      </c>
      <c r="F237" s="29" t="s">
        <v>120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30">
        <v>13.0</v>
      </c>
      <c r="B238" s="30">
        <v>1.13129397E8</v>
      </c>
      <c r="C238" s="21"/>
      <c r="D238" s="27">
        <v>1.13127628E8</v>
      </c>
      <c r="E238" s="27" t="s">
        <v>35</v>
      </c>
      <c r="F238" s="27" t="s">
        <v>33</v>
      </c>
      <c r="G238" s="21"/>
      <c r="H238" s="21">
        <f>B238-2000</f>
        <v>113127397</v>
      </c>
      <c r="I238" s="21">
        <f>B238+2000</f>
        <v>113131397</v>
      </c>
      <c r="J238" s="21" t="s">
        <v>121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C239" s="21"/>
      <c r="D239" s="27">
        <v>1.13129907E8</v>
      </c>
      <c r="E239" s="27" t="s">
        <v>32</v>
      </c>
      <c r="F239" s="27" t="s">
        <v>38</v>
      </c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C240" s="21"/>
      <c r="D240" s="27">
        <v>1.13130093E8</v>
      </c>
      <c r="E240" s="27" t="s">
        <v>32</v>
      </c>
      <c r="F240" s="27" t="s">
        <v>38</v>
      </c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C241" s="21"/>
      <c r="D241" s="27">
        <v>1.13130129E8</v>
      </c>
      <c r="E241" s="27" t="s">
        <v>38</v>
      </c>
      <c r="F241" s="27" t="s">
        <v>33</v>
      </c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C242" s="21"/>
      <c r="D242" s="27">
        <v>1.13130274E8</v>
      </c>
      <c r="E242" s="27" t="s">
        <v>35</v>
      </c>
      <c r="F242" s="27" t="s">
        <v>38</v>
      </c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17"/>
      <c r="B243" s="17"/>
      <c r="C243" s="28"/>
      <c r="D243" s="29">
        <v>1.13130406E8</v>
      </c>
      <c r="E243" s="29" t="s">
        <v>35</v>
      </c>
      <c r="F243" s="29" t="s">
        <v>38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30">
        <v>13.0</v>
      </c>
      <c r="B244" s="30">
        <v>8.9502589E7</v>
      </c>
      <c r="C244" s="35"/>
      <c r="D244" s="27" t="s">
        <v>122</v>
      </c>
      <c r="E244" s="27" t="s">
        <v>87</v>
      </c>
      <c r="F244" s="27" t="s">
        <v>35</v>
      </c>
      <c r="G244" s="21"/>
      <c r="H244" s="21">
        <f>B244-2000</f>
        <v>89500589</v>
      </c>
      <c r="I244" s="21">
        <f>B244+2000</f>
        <v>89504589</v>
      </c>
      <c r="J244" s="21" t="s">
        <v>123</v>
      </c>
      <c r="K244" s="21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C245" s="35"/>
      <c r="D245" s="27">
        <v>8.9500851E7</v>
      </c>
      <c r="E245" s="27" t="s">
        <v>38</v>
      </c>
      <c r="F245" s="27" t="s">
        <v>35</v>
      </c>
      <c r="G245" s="21"/>
      <c r="H245" s="21"/>
      <c r="I245" s="21"/>
      <c r="J245" s="21"/>
      <c r="K245" s="21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C246" s="35"/>
      <c r="D246" s="27">
        <v>8.9500857E7</v>
      </c>
      <c r="E246" s="27" t="s">
        <v>33</v>
      </c>
      <c r="F246" s="27" t="s">
        <v>32</v>
      </c>
      <c r="G246" s="21"/>
      <c r="H246" s="21"/>
      <c r="I246" s="21"/>
      <c r="J246" s="21"/>
      <c r="K246" s="21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C247" s="35"/>
      <c r="D247" s="27" t="s">
        <v>124</v>
      </c>
      <c r="E247" s="27" t="s">
        <v>125</v>
      </c>
      <c r="F247" s="27" t="s">
        <v>38</v>
      </c>
      <c r="G247" s="21"/>
      <c r="H247" s="21"/>
      <c r="I247" s="21"/>
      <c r="J247" s="21"/>
      <c r="K247" s="21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C248" s="35"/>
      <c r="D248" s="27">
        <v>8.9501617E7</v>
      </c>
      <c r="E248" s="27" t="s">
        <v>35</v>
      </c>
      <c r="F248" s="27" t="s">
        <v>126</v>
      </c>
      <c r="G248" s="21"/>
      <c r="H248" s="21"/>
      <c r="I248" s="21"/>
      <c r="J248" s="21"/>
      <c r="K248" s="21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C249" s="35"/>
      <c r="D249" s="27">
        <v>8.9502178E7</v>
      </c>
      <c r="E249" s="27" t="s">
        <v>38</v>
      </c>
      <c r="F249" s="27" t="s">
        <v>32</v>
      </c>
      <c r="G249" s="21"/>
      <c r="H249" s="21"/>
      <c r="I249" s="21"/>
      <c r="J249" s="21"/>
      <c r="K249" s="21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C250" s="35"/>
      <c r="D250" s="27">
        <v>8.9503344E7</v>
      </c>
      <c r="E250" s="27" t="s">
        <v>33</v>
      </c>
      <c r="F250" s="27" t="s">
        <v>35</v>
      </c>
      <c r="G250" s="21"/>
      <c r="H250" s="21"/>
      <c r="I250" s="21"/>
      <c r="J250" s="21"/>
      <c r="K250" s="21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C251" s="35"/>
      <c r="D251" s="27">
        <v>8.9503452E7</v>
      </c>
      <c r="E251" s="27" t="s">
        <v>32</v>
      </c>
      <c r="F251" s="27" t="s">
        <v>33</v>
      </c>
      <c r="G251" s="21"/>
      <c r="H251" s="21"/>
      <c r="I251" s="21"/>
      <c r="J251" s="21"/>
      <c r="K251" s="21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C252" s="35"/>
      <c r="D252" s="27">
        <v>8.9503564E7</v>
      </c>
      <c r="E252" s="27" t="s">
        <v>33</v>
      </c>
      <c r="F252" s="27" t="s">
        <v>32</v>
      </c>
      <c r="G252" s="21"/>
      <c r="H252" s="21"/>
      <c r="I252" s="21"/>
      <c r="J252" s="21"/>
      <c r="K252" s="21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17"/>
      <c r="B253" s="17"/>
      <c r="C253" s="36"/>
      <c r="D253" s="29">
        <v>8.9503815E7</v>
      </c>
      <c r="E253" s="29" t="s">
        <v>38</v>
      </c>
      <c r="F253" s="29" t="s">
        <v>33</v>
      </c>
      <c r="G253" s="28"/>
      <c r="H253" s="28"/>
      <c r="I253" s="28"/>
      <c r="J253" s="28"/>
      <c r="K253" s="28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2">
        <v>13.0</v>
      </c>
      <c r="B254" s="32">
        <v>4.1649604E7</v>
      </c>
      <c r="C254" s="33"/>
      <c r="D254" s="34">
        <v>4.1647731E7</v>
      </c>
      <c r="E254" s="34" t="s">
        <v>32</v>
      </c>
      <c r="F254" s="34" t="s">
        <v>33</v>
      </c>
      <c r="G254" s="33"/>
      <c r="H254" s="33">
        <f t="shared" ref="H254:H256" si="11">B254-2000</f>
        <v>41647604</v>
      </c>
      <c r="I254" s="33">
        <f t="shared" ref="I254:I256" si="12">B254+2000</f>
        <v>41651604</v>
      </c>
      <c r="J254" s="33" t="s">
        <v>127</v>
      </c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2">
        <v>14.0</v>
      </c>
      <c r="B255" s="32">
        <v>1.0468331E8</v>
      </c>
      <c r="C255" s="33"/>
      <c r="D255" s="34" t="s">
        <v>59</v>
      </c>
      <c r="E255" s="34" t="s">
        <v>59</v>
      </c>
      <c r="F255" s="34" t="s">
        <v>59</v>
      </c>
      <c r="G255" s="33"/>
      <c r="H255" s="33">
        <f t="shared" si="11"/>
        <v>104681310</v>
      </c>
      <c r="I255" s="33">
        <f t="shared" si="12"/>
        <v>104685310</v>
      </c>
      <c r="J255" s="33" t="s">
        <v>128</v>
      </c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0">
        <v>15.0</v>
      </c>
      <c r="B256" s="30">
        <v>2.7031657E7</v>
      </c>
      <c r="C256" s="21"/>
      <c r="D256" s="27">
        <v>2.7030089E7</v>
      </c>
      <c r="E256" s="27" t="s">
        <v>38</v>
      </c>
      <c r="F256" s="27" t="s">
        <v>35</v>
      </c>
      <c r="G256" s="21"/>
      <c r="H256" s="21">
        <f t="shared" si="11"/>
        <v>27029657</v>
      </c>
      <c r="I256" s="21">
        <f t="shared" si="12"/>
        <v>27033657</v>
      </c>
      <c r="J256" s="21" t="s">
        <v>129</v>
      </c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C257" s="21"/>
      <c r="D257" s="27">
        <v>2.7030186E7</v>
      </c>
      <c r="E257" s="27" t="s">
        <v>38</v>
      </c>
      <c r="F257" s="27" t="s">
        <v>35</v>
      </c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C258" s="21"/>
      <c r="D258" s="27">
        <v>2.7030696E7</v>
      </c>
      <c r="E258" s="27" t="s">
        <v>33</v>
      </c>
      <c r="F258" s="27" t="s">
        <v>130</v>
      </c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C259" s="21"/>
      <c r="D259" s="27" t="s">
        <v>131</v>
      </c>
      <c r="E259" s="27" t="s">
        <v>132</v>
      </c>
      <c r="F259" s="27" t="s">
        <v>38</v>
      </c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C260" s="21"/>
      <c r="D260" s="27">
        <v>2.7031089E7</v>
      </c>
      <c r="E260" s="27" t="s">
        <v>32</v>
      </c>
      <c r="F260" s="27" t="s">
        <v>33</v>
      </c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C261" s="21"/>
      <c r="D261" s="27">
        <v>2.7031472E7</v>
      </c>
      <c r="E261" s="27" t="s">
        <v>33</v>
      </c>
      <c r="F261" s="27" t="s">
        <v>32</v>
      </c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C262" s="21"/>
      <c r="D262" s="27">
        <v>2.7031884E7</v>
      </c>
      <c r="E262" s="27" t="s">
        <v>32</v>
      </c>
      <c r="F262" s="27" t="s">
        <v>33</v>
      </c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C263" s="21"/>
      <c r="D263" s="27">
        <v>2.7031898E7</v>
      </c>
      <c r="E263" s="27" t="s">
        <v>38</v>
      </c>
      <c r="F263" s="27" t="s">
        <v>32</v>
      </c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C264" s="21"/>
      <c r="D264" s="27">
        <v>2.7032158E7</v>
      </c>
      <c r="E264" s="27" t="s">
        <v>32</v>
      </c>
      <c r="F264" s="27" t="s">
        <v>38</v>
      </c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C265" s="21"/>
      <c r="D265" s="27">
        <v>2.7032254E7</v>
      </c>
      <c r="E265" s="27" t="s">
        <v>33</v>
      </c>
      <c r="F265" s="27" t="s">
        <v>35</v>
      </c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C266" s="21"/>
      <c r="D266" s="27">
        <v>2.7032831E7</v>
      </c>
      <c r="E266" s="27" t="s">
        <v>38</v>
      </c>
      <c r="F266" s="27" t="s">
        <v>133</v>
      </c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C267" s="21"/>
      <c r="D267" s="27">
        <v>2.7033E7</v>
      </c>
      <c r="E267" s="27" t="s">
        <v>33</v>
      </c>
      <c r="F267" s="27" t="s">
        <v>58</v>
      </c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17"/>
      <c r="B268" s="17"/>
      <c r="C268" s="28"/>
      <c r="D268" s="29">
        <v>2.7033392E7</v>
      </c>
      <c r="E268" s="29" t="s">
        <v>35</v>
      </c>
      <c r="F268" s="29" t="s">
        <v>38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30">
        <v>15.0</v>
      </c>
      <c r="B269" s="30">
        <v>7.9552558E7</v>
      </c>
      <c r="C269" s="21"/>
      <c r="D269" s="27">
        <v>7.955122E7</v>
      </c>
      <c r="E269" s="27" t="s">
        <v>38</v>
      </c>
      <c r="F269" s="27" t="s">
        <v>35</v>
      </c>
      <c r="G269" s="21"/>
      <c r="H269" s="21">
        <f>B269-2000</f>
        <v>79550558</v>
      </c>
      <c r="I269" s="21">
        <f>B269+2000</f>
        <v>79554558</v>
      </c>
      <c r="J269" s="21" t="s">
        <v>134</v>
      </c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C270" s="21"/>
      <c r="D270" s="27">
        <v>7.9551285E7</v>
      </c>
      <c r="E270" s="27" t="s">
        <v>32</v>
      </c>
      <c r="F270" s="27" t="s">
        <v>33</v>
      </c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C271" s="21"/>
      <c r="D271" s="27">
        <v>7.9551453E7</v>
      </c>
      <c r="E271" s="27" t="s">
        <v>32</v>
      </c>
      <c r="F271" s="27" t="s">
        <v>35</v>
      </c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C272" s="21"/>
      <c r="D272" s="27">
        <v>7.9551922E7</v>
      </c>
      <c r="E272" s="27" t="s">
        <v>35</v>
      </c>
      <c r="F272" s="27" t="s">
        <v>38</v>
      </c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C273" s="21"/>
      <c r="D273" s="27" t="s">
        <v>135</v>
      </c>
      <c r="E273" s="27" t="s">
        <v>51</v>
      </c>
      <c r="F273" s="27" t="s">
        <v>33</v>
      </c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C274" s="21"/>
      <c r="D274" s="27" t="s">
        <v>136</v>
      </c>
      <c r="E274" s="27" t="s">
        <v>137</v>
      </c>
      <c r="F274" s="27" t="s">
        <v>33</v>
      </c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C275" s="21"/>
      <c r="D275" s="27">
        <v>7.9552839E7</v>
      </c>
      <c r="E275" s="27" t="s">
        <v>33</v>
      </c>
      <c r="F275" s="27" t="s">
        <v>35</v>
      </c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C276" s="21"/>
      <c r="D276" s="27">
        <v>7.955314E7</v>
      </c>
      <c r="E276" s="27" t="s">
        <v>38</v>
      </c>
      <c r="F276" s="27" t="s">
        <v>35</v>
      </c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C277" s="21"/>
      <c r="D277" s="27">
        <v>7.9553417E7</v>
      </c>
      <c r="E277" s="27" t="s">
        <v>32</v>
      </c>
      <c r="F277" s="27" t="s">
        <v>33</v>
      </c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C278" s="21"/>
      <c r="D278" s="27">
        <v>7.9553496E7</v>
      </c>
      <c r="E278" s="27" t="s">
        <v>35</v>
      </c>
      <c r="F278" s="27" t="s">
        <v>138</v>
      </c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C279" s="21"/>
      <c r="D279" s="27">
        <v>7.9553506E7</v>
      </c>
      <c r="E279" s="27" t="s">
        <v>33</v>
      </c>
      <c r="F279" s="27" t="s">
        <v>85</v>
      </c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C280" s="21"/>
      <c r="D280" s="27">
        <v>7.9553521E7</v>
      </c>
      <c r="E280" s="27" t="s">
        <v>33</v>
      </c>
      <c r="F280" s="27" t="s">
        <v>32</v>
      </c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C281" s="21"/>
      <c r="D281" s="27">
        <v>7.9553523E7</v>
      </c>
      <c r="E281" s="27" t="s">
        <v>33</v>
      </c>
      <c r="F281" s="27" t="s">
        <v>32</v>
      </c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C282" s="21"/>
      <c r="D282" s="27">
        <v>7.9554091E7</v>
      </c>
      <c r="E282" s="27" t="s">
        <v>38</v>
      </c>
      <c r="F282" s="27" t="s">
        <v>35</v>
      </c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C283" s="21"/>
      <c r="D283" s="27">
        <v>7.955414E7</v>
      </c>
      <c r="E283" s="27" t="s">
        <v>33</v>
      </c>
      <c r="F283" s="27" t="s">
        <v>32</v>
      </c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C284" s="21"/>
      <c r="D284" s="27">
        <v>7.9554181E7</v>
      </c>
      <c r="E284" s="27" t="s">
        <v>33</v>
      </c>
      <c r="F284" s="27" t="s">
        <v>32</v>
      </c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C285" s="21"/>
      <c r="D285" s="27">
        <v>7.9554205E7</v>
      </c>
      <c r="E285" s="27" t="s">
        <v>32</v>
      </c>
      <c r="F285" s="27" t="s">
        <v>33</v>
      </c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17"/>
      <c r="B286" s="17"/>
      <c r="C286" s="28"/>
      <c r="D286" s="29">
        <v>7.9554491E7</v>
      </c>
      <c r="E286" s="29" t="s">
        <v>33</v>
      </c>
      <c r="F286" s="29" t="s">
        <v>32</v>
      </c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30">
        <v>16.0</v>
      </c>
      <c r="B287" s="30">
        <v>8.2757476E7</v>
      </c>
      <c r="C287" s="21"/>
      <c r="D287" s="27">
        <v>8.2755484E7</v>
      </c>
      <c r="E287" s="27" t="s">
        <v>33</v>
      </c>
      <c r="F287" s="27" t="s">
        <v>32</v>
      </c>
      <c r="G287" s="21"/>
      <c r="H287" s="21">
        <f>B287-2000</f>
        <v>82755476</v>
      </c>
      <c r="I287" s="21">
        <f>B287+2000</f>
        <v>82759476</v>
      </c>
      <c r="J287" s="21" t="s">
        <v>139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17"/>
      <c r="B288" s="17"/>
      <c r="C288" s="28"/>
      <c r="D288" s="29">
        <v>8.275632E7</v>
      </c>
      <c r="E288" s="29" t="s">
        <v>35</v>
      </c>
      <c r="F288" s="29" t="s">
        <v>38</v>
      </c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30">
        <v>19.0</v>
      </c>
      <c r="B289" s="30">
        <v>5.0936562E7</v>
      </c>
      <c r="C289" s="21"/>
      <c r="D289" s="27">
        <v>5.0935076E7</v>
      </c>
      <c r="E289" s="27" t="s">
        <v>38</v>
      </c>
      <c r="F289" s="42" t="s">
        <v>140</v>
      </c>
      <c r="G289" s="21"/>
      <c r="H289" s="21">
        <f>B289-2000</f>
        <v>50934562</v>
      </c>
      <c r="I289" s="21">
        <f>B289+2000</f>
        <v>50938562</v>
      </c>
      <c r="J289" s="21" t="s">
        <v>141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C290" s="21"/>
      <c r="D290" s="27">
        <v>5.0936308E7</v>
      </c>
      <c r="E290" s="27" t="s">
        <v>32</v>
      </c>
      <c r="F290" s="27" t="s">
        <v>33</v>
      </c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0" customHeight="1">
      <c r="C291" s="21"/>
      <c r="D291" s="27">
        <v>5.0936396E7</v>
      </c>
      <c r="E291" s="27" t="s">
        <v>32</v>
      </c>
      <c r="F291" s="27" t="s">
        <v>33</v>
      </c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0" customHeight="1">
      <c r="C292" s="21"/>
      <c r="D292" s="27">
        <v>5.093645E7</v>
      </c>
      <c r="E292" s="27" t="s">
        <v>38</v>
      </c>
      <c r="F292" s="27" t="s">
        <v>35</v>
      </c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0" customHeight="1">
      <c r="C293" s="21"/>
      <c r="D293" s="27">
        <v>5.0936688E7</v>
      </c>
      <c r="E293" s="27" t="s">
        <v>33</v>
      </c>
      <c r="F293" s="27" t="s">
        <v>32</v>
      </c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0" customHeight="1">
      <c r="C294" s="21"/>
      <c r="D294" s="27">
        <v>5.0937304E7</v>
      </c>
      <c r="E294" s="27" t="s">
        <v>32</v>
      </c>
      <c r="F294" s="27" t="s">
        <v>33</v>
      </c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0" customHeight="1">
      <c r="C295" s="21"/>
      <c r="D295" s="27">
        <v>5.0937497E7</v>
      </c>
      <c r="E295" s="27" t="s">
        <v>33</v>
      </c>
      <c r="F295" s="27" t="s">
        <v>35</v>
      </c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0" customHeight="1">
      <c r="C296" s="21"/>
      <c r="D296" s="27">
        <v>5.0937618E7</v>
      </c>
      <c r="E296" s="27" t="s">
        <v>38</v>
      </c>
      <c r="F296" s="27" t="s">
        <v>35</v>
      </c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0" customHeight="1">
      <c r="C297" s="21"/>
      <c r="D297" s="27">
        <v>5.0937769E7</v>
      </c>
      <c r="E297" s="27" t="s">
        <v>33</v>
      </c>
      <c r="F297" s="27" t="s">
        <v>142</v>
      </c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0" customHeight="1">
      <c r="C298" s="21"/>
      <c r="D298" s="27">
        <v>5.0937877E7</v>
      </c>
      <c r="E298" s="27" t="s">
        <v>35</v>
      </c>
      <c r="F298" s="27" t="s">
        <v>38</v>
      </c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0" customHeight="1">
      <c r="C299" s="21"/>
      <c r="D299" s="27">
        <v>5.0938081E7</v>
      </c>
      <c r="E299" s="27" t="s">
        <v>35</v>
      </c>
      <c r="F299" s="27" t="s">
        <v>38</v>
      </c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0" customHeight="1">
      <c r="C300" s="21"/>
      <c r="D300" s="27">
        <v>5.09381E7</v>
      </c>
      <c r="E300" s="27" t="s">
        <v>32</v>
      </c>
      <c r="F300" s="27" t="s">
        <v>33</v>
      </c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0" customHeight="1">
      <c r="C301" s="21"/>
      <c r="D301" s="27">
        <v>5.0938488E7</v>
      </c>
      <c r="E301" s="27" t="s">
        <v>38</v>
      </c>
      <c r="F301" s="27" t="s">
        <v>35</v>
      </c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17"/>
      <c r="B302" s="17"/>
      <c r="C302" s="28"/>
      <c r="D302" s="29">
        <v>5.0938527E7</v>
      </c>
      <c r="E302" s="29" t="s">
        <v>35</v>
      </c>
      <c r="F302" s="29" t="s">
        <v>38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43"/>
      <c r="B303" s="43"/>
      <c r="C303" s="21"/>
      <c r="D303" s="27"/>
      <c r="E303" s="27"/>
      <c r="F303" s="27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0" t="s">
        <v>143</v>
      </c>
      <c r="B304" s="21"/>
      <c r="C304" s="21"/>
      <c r="D304" s="27"/>
      <c r="E304" s="27"/>
      <c r="F304" s="27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0" t="s">
        <v>144</v>
      </c>
      <c r="B305" s="21"/>
      <c r="C305" s="21"/>
      <c r="D305" s="27"/>
      <c r="E305" s="27"/>
      <c r="F305" s="27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0" t="s">
        <v>145</v>
      </c>
      <c r="B306" s="21"/>
      <c r="C306" s="21"/>
      <c r="D306" s="27"/>
      <c r="E306" s="27"/>
      <c r="F306" s="27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7"/>
      <c r="E307" s="27"/>
      <c r="F307" s="27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7"/>
      <c r="E308" s="27"/>
      <c r="F308" s="27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44"/>
      <c r="E309" s="27"/>
      <c r="F309" s="27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7"/>
      <c r="E310" s="27"/>
      <c r="F310" s="27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7"/>
      <c r="E311" s="27"/>
      <c r="F311" s="27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7"/>
      <c r="E312" s="27"/>
      <c r="F312" s="27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7"/>
      <c r="E313" s="27"/>
      <c r="F313" s="27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7"/>
      <c r="E314" s="27"/>
      <c r="F314" s="27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7"/>
      <c r="E315" s="27"/>
      <c r="F315" s="27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7"/>
      <c r="E316" s="27"/>
      <c r="F316" s="27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7"/>
      <c r="E317" s="27"/>
      <c r="F317" s="27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7"/>
      <c r="E318" s="27"/>
      <c r="F318" s="27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7"/>
      <c r="E319" s="27"/>
      <c r="F319" s="27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7"/>
      <c r="E320" s="27"/>
      <c r="F320" s="27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7"/>
      <c r="E321" s="27"/>
      <c r="F321" s="27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7"/>
      <c r="E322" s="27"/>
      <c r="F322" s="27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7"/>
      <c r="E323" s="27"/>
      <c r="F323" s="27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7"/>
      <c r="E324" s="27"/>
      <c r="F324" s="27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7"/>
      <c r="E325" s="27"/>
      <c r="F325" s="27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7"/>
      <c r="E326" s="27"/>
      <c r="F326" s="27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7"/>
      <c r="E327" s="27"/>
      <c r="F327" s="27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7"/>
      <c r="E328" s="27"/>
      <c r="F328" s="27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7"/>
      <c r="E329" s="27"/>
      <c r="F329" s="27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7"/>
      <c r="E330" s="27"/>
      <c r="F330" s="27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7"/>
      <c r="E331" s="27"/>
      <c r="F331" s="27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7"/>
      <c r="E332" s="27"/>
      <c r="F332" s="27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7"/>
      <c r="E333" s="27"/>
      <c r="F333" s="27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7"/>
      <c r="E334" s="27"/>
      <c r="F334" s="27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7"/>
      <c r="E335" s="27"/>
      <c r="F335" s="27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7"/>
      <c r="E336" s="27"/>
      <c r="F336" s="27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7"/>
      <c r="E337" s="27"/>
      <c r="F337" s="27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7"/>
      <c r="E338" s="27"/>
      <c r="F338" s="27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7"/>
      <c r="E339" s="27"/>
      <c r="F339" s="27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7"/>
      <c r="E340" s="27"/>
      <c r="F340" s="27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7"/>
      <c r="E341" s="27"/>
      <c r="F341" s="27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7"/>
      <c r="E342" s="27"/>
      <c r="F342" s="27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7"/>
      <c r="E343" s="27"/>
      <c r="F343" s="27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7"/>
      <c r="E344" s="27"/>
      <c r="F344" s="27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7"/>
      <c r="E345" s="27"/>
      <c r="F345" s="27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7"/>
      <c r="E346" s="27"/>
      <c r="F346" s="27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7"/>
      <c r="E347" s="27"/>
      <c r="F347" s="27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7"/>
      <c r="E348" s="27"/>
      <c r="F348" s="27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7"/>
      <c r="E349" s="27"/>
      <c r="F349" s="27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7"/>
      <c r="E350" s="27"/>
      <c r="F350" s="27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7"/>
      <c r="E351" s="27"/>
      <c r="F351" s="27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7"/>
      <c r="E352" s="27"/>
      <c r="F352" s="27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7"/>
      <c r="E353" s="27"/>
      <c r="F353" s="27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7"/>
      <c r="E354" s="27"/>
      <c r="F354" s="27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7"/>
      <c r="E355" s="27"/>
      <c r="F355" s="27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7"/>
      <c r="E356" s="27"/>
      <c r="F356" s="27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7"/>
      <c r="E357" s="27"/>
      <c r="F357" s="27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7"/>
      <c r="E358" s="27"/>
      <c r="F358" s="27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7"/>
      <c r="E359" s="27"/>
      <c r="F359" s="27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7"/>
      <c r="E360" s="27"/>
      <c r="F360" s="27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7"/>
      <c r="E361" s="27"/>
      <c r="F361" s="27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7"/>
      <c r="E362" s="27"/>
      <c r="F362" s="27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7"/>
      <c r="E363" s="27"/>
      <c r="F363" s="27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7"/>
      <c r="E364" s="27"/>
      <c r="F364" s="27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7"/>
      <c r="E365" s="27"/>
      <c r="F365" s="27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7"/>
      <c r="E366" s="27"/>
      <c r="F366" s="27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7"/>
      <c r="E367" s="27"/>
      <c r="F367" s="27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7"/>
      <c r="E368" s="27"/>
      <c r="F368" s="27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7"/>
      <c r="E369" s="27"/>
      <c r="F369" s="27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7"/>
      <c r="E370" s="27"/>
      <c r="F370" s="27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7"/>
      <c r="E371" s="27"/>
      <c r="F371" s="27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7"/>
      <c r="E372" s="27"/>
      <c r="F372" s="27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7"/>
      <c r="E373" s="27"/>
      <c r="F373" s="27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7"/>
      <c r="E374" s="27"/>
      <c r="F374" s="27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7"/>
      <c r="E375" s="27"/>
      <c r="F375" s="27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7"/>
      <c r="E376" s="27"/>
      <c r="F376" s="27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7"/>
      <c r="E377" s="27"/>
      <c r="F377" s="27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7"/>
      <c r="E378" s="27"/>
      <c r="F378" s="27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7"/>
      <c r="E379" s="27"/>
      <c r="F379" s="27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7"/>
      <c r="E380" s="27"/>
      <c r="F380" s="27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7"/>
      <c r="E381" s="27"/>
      <c r="F381" s="27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7"/>
      <c r="E382" s="27"/>
      <c r="F382" s="27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7"/>
      <c r="E383" s="27"/>
      <c r="F383" s="27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7"/>
      <c r="E384" s="27"/>
      <c r="F384" s="27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7"/>
      <c r="E385" s="27"/>
      <c r="F385" s="27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7"/>
      <c r="E386" s="27"/>
      <c r="F386" s="27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7"/>
      <c r="E387" s="27"/>
      <c r="F387" s="27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7"/>
      <c r="E388" s="27"/>
      <c r="F388" s="27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7"/>
      <c r="E389" s="27"/>
      <c r="F389" s="27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7"/>
      <c r="E390" s="27"/>
      <c r="F390" s="27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7"/>
      <c r="E391" s="27"/>
      <c r="F391" s="27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7"/>
      <c r="E392" s="27"/>
      <c r="F392" s="27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7"/>
      <c r="E393" s="27"/>
      <c r="F393" s="27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7"/>
      <c r="E394" s="27"/>
      <c r="F394" s="27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7"/>
      <c r="E395" s="27"/>
      <c r="F395" s="27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7"/>
      <c r="E396" s="27"/>
      <c r="F396" s="27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7"/>
      <c r="E397" s="27"/>
      <c r="F397" s="27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7"/>
      <c r="E398" s="27"/>
      <c r="F398" s="27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7"/>
      <c r="E399" s="27"/>
      <c r="F399" s="27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7"/>
      <c r="E400" s="27"/>
      <c r="F400" s="27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7"/>
      <c r="E401" s="27"/>
      <c r="F401" s="27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7"/>
      <c r="E402" s="27"/>
      <c r="F402" s="27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7"/>
      <c r="E403" s="27"/>
      <c r="F403" s="27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7"/>
      <c r="E404" s="27"/>
      <c r="F404" s="27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7"/>
      <c r="E405" s="27"/>
      <c r="F405" s="27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7"/>
      <c r="E406" s="27"/>
      <c r="F406" s="27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7"/>
      <c r="E407" s="27"/>
      <c r="F407" s="27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7"/>
      <c r="E408" s="27"/>
      <c r="F408" s="27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7"/>
      <c r="E409" s="27"/>
      <c r="F409" s="27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7"/>
      <c r="E410" s="27"/>
      <c r="F410" s="27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7"/>
      <c r="E411" s="27"/>
      <c r="F411" s="27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7"/>
      <c r="E412" s="27"/>
      <c r="F412" s="27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7"/>
      <c r="E413" s="27"/>
      <c r="F413" s="27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7"/>
      <c r="E414" s="27"/>
      <c r="F414" s="27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7"/>
      <c r="E415" s="27"/>
      <c r="F415" s="27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7"/>
      <c r="E416" s="27"/>
      <c r="F416" s="27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7"/>
      <c r="E417" s="27"/>
      <c r="F417" s="27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7"/>
      <c r="E418" s="27"/>
      <c r="F418" s="27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7"/>
      <c r="E419" s="27"/>
      <c r="F419" s="27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7"/>
      <c r="E420" s="27"/>
      <c r="F420" s="27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7"/>
      <c r="E421" s="27"/>
      <c r="F421" s="27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7"/>
      <c r="E422" s="27"/>
      <c r="F422" s="27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7"/>
      <c r="E423" s="27"/>
      <c r="F423" s="27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7"/>
      <c r="E424" s="27"/>
      <c r="F424" s="27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7"/>
      <c r="E425" s="27"/>
      <c r="F425" s="27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7"/>
      <c r="E426" s="27"/>
      <c r="F426" s="27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7"/>
      <c r="E427" s="27"/>
      <c r="F427" s="27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7"/>
      <c r="E428" s="27"/>
      <c r="F428" s="27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7"/>
      <c r="E429" s="27"/>
      <c r="F429" s="27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7"/>
      <c r="E430" s="27"/>
      <c r="F430" s="27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7"/>
      <c r="E431" s="27"/>
      <c r="F431" s="27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7"/>
      <c r="E432" s="27"/>
      <c r="F432" s="27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7"/>
      <c r="E433" s="27"/>
      <c r="F433" s="27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7"/>
      <c r="E434" s="27"/>
      <c r="F434" s="27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7"/>
      <c r="E435" s="27"/>
      <c r="F435" s="27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7"/>
      <c r="E436" s="27"/>
      <c r="F436" s="27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7"/>
      <c r="E437" s="27"/>
      <c r="F437" s="27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7"/>
      <c r="E438" s="27"/>
      <c r="F438" s="27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7"/>
      <c r="E439" s="27"/>
      <c r="F439" s="27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7"/>
      <c r="E440" s="27"/>
      <c r="F440" s="27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7"/>
      <c r="E441" s="27"/>
      <c r="F441" s="27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7"/>
      <c r="E442" s="27"/>
      <c r="F442" s="27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7"/>
      <c r="E443" s="27"/>
      <c r="F443" s="27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7"/>
      <c r="E444" s="27"/>
      <c r="F444" s="27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7"/>
      <c r="E445" s="27"/>
      <c r="F445" s="27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7"/>
      <c r="E446" s="27"/>
      <c r="F446" s="27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7"/>
      <c r="E447" s="27"/>
      <c r="F447" s="27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7"/>
      <c r="E448" s="27"/>
      <c r="F448" s="27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7"/>
      <c r="E449" s="27"/>
      <c r="F449" s="27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7"/>
      <c r="E450" s="27"/>
      <c r="F450" s="27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7"/>
      <c r="E451" s="27"/>
      <c r="F451" s="27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7"/>
      <c r="E452" s="27"/>
      <c r="F452" s="27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7"/>
      <c r="E453" s="27"/>
      <c r="F453" s="27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7"/>
      <c r="E454" s="27"/>
      <c r="F454" s="27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7"/>
      <c r="E455" s="27"/>
      <c r="F455" s="27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7"/>
      <c r="E456" s="27"/>
      <c r="F456" s="27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7"/>
      <c r="E457" s="27"/>
      <c r="F457" s="27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7"/>
      <c r="E458" s="27"/>
      <c r="F458" s="27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7"/>
      <c r="E459" s="27"/>
      <c r="F459" s="27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7"/>
      <c r="E460" s="27"/>
      <c r="F460" s="27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7"/>
      <c r="E461" s="27"/>
      <c r="F461" s="27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7"/>
      <c r="E462" s="27"/>
      <c r="F462" s="27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7"/>
      <c r="E463" s="27"/>
      <c r="F463" s="27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7"/>
      <c r="E464" s="27"/>
      <c r="F464" s="27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7"/>
      <c r="E465" s="27"/>
      <c r="F465" s="27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7"/>
      <c r="E466" s="27"/>
      <c r="F466" s="27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7"/>
      <c r="E467" s="27"/>
      <c r="F467" s="27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7"/>
      <c r="E468" s="27"/>
      <c r="F468" s="27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7"/>
      <c r="E469" s="27"/>
      <c r="F469" s="27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7"/>
      <c r="E470" s="27"/>
      <c r="F470" s="27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7"/>
      <c r="E471" s="27"/>
      <c r="F471" s="27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7"/>
      <c r="E472" s="27"/>
      <c r="F472" s="27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7"/>
      <c r="E473" s="27"/>
      <c r="F473" s="27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7"/>
      <c r="E474" s="27"/>
      <c r="F474" s="27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7"/>
      <c r="E475" s="27"/>
      <c r="F475" s="27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7"/>
      <c r="E476" s="27"/>
      <c r="F476" s="27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7"/>
      <c r="E477" s="27"/>
      <c r="F477" s="27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7"/>
      <c r="E478" s="27"/>
      <c r="F478" s="27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7"/>
      <c r="E479" s="27"/>
      <c r="F479" s="27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7"/>
      <c r="E480" s="27"/>
      <c r="F480" s="27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7"/>
      <c r="E481" s="27"/>
      <c r="F481" s="27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7"/>
      <c r="E482" s="27"/>
      <c r="F482" s="27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7"/>
      <c r="E483" s="27"/>
      <c r="F483" s="27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7"/>
      <c r="E484" s="27"/>
      <c r="F484" s="27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7"/>
      <c r="E485" s="27"/>
      <c r="F485" s="27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7"/>
      <c r="E486" s="27"/>
      <c r="F486" s="27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7"/>
      <c r="E487" s="27"/>
      <c r="F487" s="27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7"/>
      <c r="E488" s="27"/>
      <c r="F488" s="27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7"/>
      <c r="E489" s="27"/>
      <c r="F489" s="27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7"/>
      <c r="E490" s="27"/>
      <c r="F490" s="27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7"/>
      <c r="E491" s="27"/>
      <c r="F491" s="27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7"/>
      <c r="E492" s="27"/>
      <c r="F492" s="27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7"/>
      <c r="E493" s="27"/>
      <c r="F493" s="27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7"/>
      <c r="E494" s="27"/>
      <c r="F494" s="27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7"/>
      <c r="E495" s="27"/>
      <c r="F495" s="27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7"/>
      <c r="E496" s="27"/>
      <c r="F496" s="27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7"/>
      <c r="E497" s="27"/>
      <c r="F497" s="27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7"/>
      <c r="E498" s="27"/>
      <c r="F498" s="27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7"/>
      <c r="E499" s="27"/>
      <c r="F499" s="27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7"/>
      <c r="E500" s="27"/>
      <c r="F500" s="27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7"/>
      <c r="E501" s="27"/>
      <c r="F501" s="27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7"/>
      <c r="E502" s="27"/>
      <c r="F502" s="27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7"/>
      <c r="E503" s="27"/>
      <c r="F503" s="27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7"/>
      <c r="E504" s="27"/>
      <c r="F504" s="27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7"/>
      <c r="E505" s="27"/>
      <c r="F505" s="27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7"/>
      <c r="E506" s="27"/>
      <c r="F506" s="27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7"/>
      <c r="E507" s="27"/>
      <c r="F507" s="27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7"/>
      <c r="E508" s="27"/>
      <c r="F508" s="27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7"/>
      <c r="E509" s="27"/>
      <c r="F509" s="27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7"/>
      <c r="E510" s="27"/>
      <c r="F510" s="27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7"/>
      <c r="E511" s="27"/>
      <c r="F511" s="27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7"/>
      <c r="E512" s="27"/>
      <c r="F512" s="27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7"/>
      <c r="E513" s="27"/>
      <c r="F513" s="27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7"/>
      <c r="E514" s="27"/>
      <c r="F514" s="27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7"/>
      <c r="E515" s="27"/>
      <c r="F515" s="27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7"/>
      <c r="E516" s="27"/>
      <c r="F516" s="27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7"/>
      <c r="E517" s="27"/>
      <c r="F517" s="27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7"/>
      <c r="E518" s="27"/>
      <c r="F518" s="27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7"/>
      <c r="E519" s="27"/>
      <c r="F519" s="27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7"/>
      <c r="E520" s="27"/>
      <c r="F520" s="27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7"/>
      <c r="E521" s="27"/>
      <c r="F521" s="27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7"/>
      <c r="E522" s="27"/>
      <c r="F522" s="27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7"/>
      <c r="E523" s="27"/>
      <c r="F523" s="27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7"/>
      <c r="E524" s="27"/>
      <c r="F524" s="27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7"/>
      <c r="E525" s="27"/>
      <c r="F525" s="27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7"/>
      <c r="E526" s="27"/>
      <c r="F526" s="27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7"/>
      <c r="E527" s="27"/>
      <c r="F527" s="27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7"/>
      <c r="E528" s="27"/>
      <c r="F528" s="27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7"/>
      <c r="E529" s="27"/>
      <c r="F529" s="27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7"/>
      <c r="E530" s="27"/>
      <c r="F530" s="27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7"/>
      <c r="E531" s="27"/>
      <c r="F531" s="27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7"/>
      <c r="E532" s="27"/>
      <c r="F532" s="27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7"/>
      <c r="E533" s="27"/>
      <c r="F533" s="27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7"/>
      <c r="E534" s="27"/>
      <c r="F534" s="27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7"/>
      <c r="E535" s="27"/>
      <c r="F535" s="27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7"/>
      <c r="E536" s="27"/>
      <c r="F536" s="27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7"/>
      <c r="E537" s="27"/>
      <c r="F537" s="27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7"/>
      <c r="E538" s="27"/>
      <c r="F538" s="27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7"/>
      <c r="E539" s="27"/>
      <c r="F539" s="27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7"/>
      <c r="E540" s="27"/>
      <c r="F540" s="27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7"/>
      <c r="E541" s="27"/>
      <c r="F541" s="27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7"/>
      <c r="E542" s="27"/>
      <c r="F542" s="27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7"/>
      <c r="E543" s="27"/>
      <c r="F543" s="27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7"/>
      <c r="E544" s="27"/>
      <c r="F544" s="27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7"/>
      <c r="E545" s="27"/>
      <c r="F545" s="27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7"/>
      <c r="E546" s="27"/>
      <c r="F546" s="27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7"/>
      <c r="E547" s="27"/>
      <c r="F547" s="27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7"/>
      <c r="E548" s="27"/>
      <c r="F548" s="27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7"/>
      <c r="E549" s="27"/>
      <c r="F549" s="27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7"/>
      <c r="E550" s="27"/>
      <c r="F550" s="27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7"/>
      <c r="E551" s="27"/>
      <c r="F551" s="27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7"/>
      <c r="E552" s="27"/>
      <c r="F552" s="27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7"/>
      <c r="E553" s="27"/>
      <c r="F553" s="27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7"/>
      <c r="E554" s="27"/>
      <c r="F554" s="27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7"/>
      <c r="E555" s="27"/>
      <c r="F555" s="27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7"/>
      <c r="E556" s="27"/>
      <c r="F556" s="27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7"/>
      <c r="E557" s="27"/>
      <c r="F557" s="27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7"/>
      <c r="E558" s="27"/>
      <c r="F558" s="27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7"/>
      <c r="E559" s="27"/>
      <c r="F559" s="27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7"/>
      <c r="E560" s="27"/>
      <c r="F560" s="27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7"/>
      <c r="E561" s="27"/>
      <c r="F561" s="27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7"/>
      <c r="E562" s="27"/>
      <c r="F562" s="27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7"/>
      <c r="E563" s="27"/>
      <c r="F563" s="27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7"/>
      <c r="E564" s="27"/>
      <c r="F564" s="27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7"/>
      <c r="E565" s="27"/>
      <c r="F565" s="27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7"/>
      <c r="E566" s="27"/>
      <c r="F566" s="27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7"/>
      <c r="E567" s="27"/>
      <c r="F567" s="27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7"/>
      <c r="E568" s="27"/>
      <c r="F568" s="27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7"/>
      <c r="E569" s="27"/>
      <c r="F569" s="27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7"/>
      <c r="E570" s="27"/>
      <c r="F570" s="27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7"/>
      <c r="E571" s="27"/>
      <c r="F571" s="27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7"/>
      <c r="E572" s="27"/>
      <c r="F572" s="27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7"/>
      <c r="E573" s="27"/>
      <c r="F573" s="27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7"/>
      <c r="E574" s="27"/>
      <c r="F574" s="27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7"/>
      <c r="E575" s="27"/>
      <c r="F575" s="27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7"/>
      <c r="E576" s="27"/>
      <c r="F576" s="27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7"/>
      <c r="E577" s="27"/>
      <c r="F577" s="27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7"/>
      <c r="E578" s="27"/>
      <c r="F578" s="27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7"/>
      <c r="E579" s="27"/>
      <c r="F579" s="27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7"/>
      <c r="E580" s="27"/>
      <c r="F580" s="27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7"/>
      <c r="E581" s="27"/>
      <c r="F581" s="27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7"/>
      <c r="E582" s="27"/>
      <c r="F582" s="27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7"/>
      <c r="E583" s="27"/>
      <c r="F583" s="27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7"/>
      <c r="E584" s="27"/>
      <c r="F584" s="27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7"/>
      <c r="E585" s="27"/>
      <c r="F585" s="27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7"/>
      <c r="E586" s="27"/>
      <c r="F586" s="27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7"/>
      <c r="E587" s="27"/>
      <c r="F587" s="27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7"/>
      <c r="E588" s="27"/>
      <c r="F588" s="27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7"/>
      <c r="E589" s="27"/>
      <c r="F589" s="27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7"/>
      <c r="E590" s="27"/>
      <c r="F590" s="27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7"/>
      <c r="E591" s="27"/>
      <c r="F591" s="27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7"/>
      <c r="E592" s="27"/>
      <c r="F592" s="27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7"/>
      <c r="E593" s="27"/>
      <c r="F593" s="27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7"/>
      <c r="E594" s="27"/>
      <c r="F594" s="27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7"/>
      <c r="E595" s="27"/>
      <c r="F595" s="27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7"/>
      <c r="E596" s="27"/>
      <c r="F596" s="27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7"/>
      <c r="E597" s="27"/>
      <c r="F597" s="27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7"/>
      <c r="E598" s="27"/>
      <c r="F598" s="27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7"/>
      <c r="E599" s="27"/>
      <c r="F599" s="27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7"/>
      <c r="E600" s="27"/>
      <c r="F600" s="27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7"/>
      <c r="E601" s="27"/>
      <c r="F601" s="27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7"/>
      <c r="E602" s="27"/>
      <c r="F602" s="27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7"/>
      <c r="E603" s="27"/>
      <c r="F603" s="27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7"/>
      <c r="E604" s="27"/>
      <c r="F604" s="27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7"/>
      <c r="E605" s="27"/>
      <c r="F605" s="27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7"/>
      <c r="E606" s="27"/>
      <c r="F606" s="27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7"/>
      <c r="E607" s="27"/>
      <c r="F607" s="27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7"/>
      <c r="E608" s="27"/>
      <c r="F608" s="27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7"/>
      <c r="E609" s="27"/>
      <c r="F609" s="27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7"/>
      <c r="E610" s="27"/>
      <c r="F610" s="27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7"/>
      <c r="E611" s="27"/>
      <c r="F611" s="27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7"/>
      <c r="E612" s="27"/>
      <c r="F612" s="27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7"/>
      <c r="E613" s="27"/>
      <c r="F613" s="27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7"/>
      <c r="E614" s="27"/>
      <c r="F614" s="27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7"/>
      <c r="E615" s="27"/>
      <c r="F615" s="27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7"/>
      <c r="E616" s="27"/>
      <c r="F616" s="27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7"/>
      <c r="E617" s="27"/>
      <c r="F617" s="27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7"/>
      <c r="E618" s="27"/>
      <c r="F618" s="27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7"/>
      <c r="E619" s="27"/>
      <c r="F619" s="27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7"/>
      <c r="E620" s="27"/>
      <c r="F620" s="27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7"/>
      <c r="E621" s="27"/>
      <c r="F621" s="27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7"/>
      <c r="E622" s="27"/>
      <c r="F622" s="27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7"/>
      <c r="E623" s="27"/>
      <c r="F623" s="27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7"/>
      <c r="E624" s="27"/>
      <c r="F624" s="27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7"/>
      <c r="E625" s="27"/>
      <c r="F625" s="27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7"/>
      <c r="E626" s="27"/>
      <c r="F626" s="27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7"/>
      <c r="E627" s="27"/>
      <c r="F627" s="27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7"/>
      <c r="E628" s="27"/>
      <c r="F628" s="27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7"/>
      <c r="E629" s="27"/>
      <c r="F629" s="27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7"/>
      <c r="E630" s="27"/>
      <c r="F630" s="27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7"/>
      <c r="E631" s="27"/>
      <c r="F631" s="27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7"/>
      <c r="E632" s="27"/>
      <c r="F632" s="27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7"/>
      <c r="E633" s="27"/>
      <c r="F633" s="27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7"/>
      <c r="E634" s="27"/>
      <c r="F634" s="27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7"/>
      <c r="E635" s="27"/>
      <c r="F635" s="27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7"/>
      <c r="E636" s="27"/>
      <c r="F636" s="27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7"/>
      <c r="E637" s="27"/>
      <c r="F637" s="27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7"/>
      <c r="E638" s="27"/>
      <c r="F638" s="27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7"/>
      <c r="E639" s="27"/>
      <c r="F639" s="27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7"/>
      <c r="E640" s="27"/>
      <c r="F640" s="27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7"/>
      <c r="E641" s="27"/>
      <c r="F641" s="27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7"/>
      <c r="E642" s="27"/>
      <c r="F642" s="27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7"/>
      <c r="E643" s="27"/>
      <c r="F643" s="27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7"/>
      <c r="E644" s="27"/>
      <c r="F644" s="27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7"/>
      <c r="E645" s="27"/>
      <c r="F645" s="27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7"/>
      <c r="E646" s="27"/>
      <c r="F646" s="27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7"/>
      <c r="E647" s="27"/>
      <c r="F647" s="27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7"/>
      <c r="E648" s="27"/>
      <c r="F648" s="27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7"/>
      <c r="E649" s="27"/>
      <c r="F649" s="27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7"/>
      <c r="E650" s="27"/>
      <c r="F650" s="27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7"/>
      <c r="E651" s="27"/>
      <c r="F651" s="27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7"/>
      <c r="E652" s="27"/>
      <c r="F652" s="27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7"/>
      <c r="E653" s="27"/>
      <c r="F653" s="27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7"/>
      <c r="E654" s="27"/>
      <c r="F654" s="27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7"/>
      <c r="E655" s="27"/>
      <c r="F655" s="27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7"/>
      <c r="E656" s="27"/>
      <c r="F656" s="27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7"/>
      <c r="E657" s="27"/>
      <c r="F657" s="27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7"/>
      <c r="E658" s="27"/>
      <c r="F658" s="27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7"/>
      <c r="E659" s="27"/>
      <c r="F659" s="27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7"/>
      <c r="E660" s="27"/>
      <c r="F660" s="27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7"/>
      <c r="E661" s="27"/>
      <c r="F661" s="27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7"/>
      <c r="E662" s="27"/>
      <c r="F662" s="27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7"/>
      <c r="E663" s="27"/>
      <c r="F663" s="27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7"/>
      <c r="E664" s="27"/>
      <c r="F664" s="27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7"/>
      <c r="E665" s="27"/>
      <c r="F665" s="27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7"/>
      <c r="E666" s="27"/>
      <c r="F666" s="27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7"/>
      <c r="E667" s="27"/>
      <c r="F667" s="27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7"/>
      <c r="E668" s="27"/>
      <c r="F668" s="27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7"/>
      <c r="E669" s="27"/>
      <c r="F669" s="27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7"/>
      <c r="E670" s="27"/>
      <c r="F670" s="27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7"/>
      <c r="E671" s="27"/>
      <c r="F671" s="27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7"/>
      <c r="E672" s="27"/>
      <c r="F672" s="27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7"/>
      <c r="E673" s="27"/>
      <c r="F673" s="27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7"/>
      <c r="E674" s="27"/>
      <c r="F674" s="27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7"/>
      <c r="E675" s="27"/>
      <c r="F675" s="27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7"/>
      <c r="E676" s="27"/>
      <c r="F676" s="27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7"/>
      <c r="E677" s="27"/>
      <c r="F677" s="27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7"/>
      <c r="E678" s="27"/>
      <c r="F678" s="27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7"/>
      <c r="E679" s="27"/>
      <c r="F679" s="27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7"/>
      <c r="E680" s="27"/>
      <c r="F680" s="27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7"/>
      <c r="E681" s="27"/>
      <c r="F681" s="27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7"/>
      <c r="E682" s="27"/>
      <c r="F682" s="27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7"/>
      <c r="E683" s="27"/>
      <c r="F683" s="27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7"/>
      <c r="E684" s="27"/>
      <c r="F684" s="27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7"/>
      <c r="E685" s="27"/>
      <c r="F685" s="27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7"/>
      <c r="E686" s="27"/>
      <c r="F686" s="27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7"/>
      <c r="E687" s="27"/>
      <c r="F687" s="27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7"/>
      <c r="E688" s="27"/>
      <c r="F688" s="27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7"/>
      <c r="E689" s="27"/>
      <c r="F689" s="27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7"/>
      <c r="E690" s="27"/>
      <c r="F690" s="27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7"/>
      <c r="E691" s="27"/>
      <c r="F691" s="27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7"/>
      <c r="E692" s="27"/>
      <c r="F692" s="27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7"/>
      <c r="E693" s="27"/>
      <c r="F693" s="27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7"/>
      <c r="E694" s="27"/>
      <c r="F694" s="27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7"/>
      <c r="E695" s="27"/>
      <c r="F695" s="27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7"/>
      <c r="E696" s="27"/>
      <c r="F696" s="27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7"/>
      <c r="E697" s="27"/>
      <c r="F697" s="27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7"/>
      <c r="E698" s="27"/>
      <c r="F698" s="27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7"/>
      <c r="E699" s="27"/>
      <c r="F699" s="27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7"/>
      <c r="E700" s="27"/>
      <c r="F700" s="27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7"/>
      <c r="E701" s="27"/>
      <c r="F701" s="27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7"/>
      <c r="E702" s="27"/>
      <c r="F702" s="27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7"/>
      <c r="E703" s="27"/>
      <c r="F703" s="27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7"/>
      <c r="E704" s="27"/>
      <c r="F704" s="27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7"/>
      <c r="E705" s="27"/>
      <c r="F705" s="27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7"/>
      <c r="E706" s="27"/>
      <c r="F706" s="27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7"/>
      <c r="E707" s="27"/>
      <c r="F707" s="27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7"/>
      <c r="E708" s="27"/>
      <c r="F708" s="27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7"/>
      <c r="E709" s="27"/>
      <c r="F709" s="27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7"/>
      <c r="E710" s="27"/>
      <c r="F710" s="27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7"/>
      <c r="E711" s="27"/>
      <c r="F711" s="27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7"/>
      <c r="E712" s="27"/>
      <c r="F712" s="27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7"/>
      <c r="E713" s="27"/>
      <c r="F713" s="27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7"/>
      <c r="E714" s="27"/>
      <c r="F714" s="27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7"/>
      <c r="E715" s="27"/>
      <c r="F715" s="27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7"/>
      <c r="E716" s="27"/>
      <c r="F716" s="27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7"/>
      <c r="E717" s="27"/>
      <c r="F717" s="27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7"/>
      <c r="E718" s="27"/>
      <c r="F718" s="27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7"/>
      <c r="E719" s="27"/>
      <c r="F719" s="27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7"/>
      <c r="E720" s="27"/>
      <c r="F720" s="27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7"/>
      <c r="E721" s="27"/>
      <c r="F721" s="27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7"/>
      <c r="E722" s="27"/>
      <c r="F722" s="27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7"/>
      <c r="E723" s="27"/>
      <c r="F723" s="27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7"/>
      <c r="E724" s="27"/>
      <c r="F724" s="27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7"/>
      <c r="E725" s="27"/>
      <c r="F725" s="27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7"/>
      <c r="E726" s="27"/>
      <c r="F726" s="27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7"/>
      <c r="E727" s="27"/>
      <c r="F727" s="27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7"/>
      <c r="E728" s="27"/>
      <c r="F728" s="27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7"/>
      <c r="E729" s="27"/>
      <c r="F729" s="27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7"/>
      <c r="E730" s="27"/>
      <c r="F730" s="27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7"/>
      <c r="E731" s="27"/>
      <c r="F731" s="27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7"/>
      <c r="E732" s="27"/>
      <c r="F732" s="27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7"/>
      <c r="E733" s="27"/>
      <c r="F733" s="27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7"/>
      <c r="E734" s="27"/>
      <c r="F734" s="27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7"/>
      <c r="E735" s="27"/>
      <c r="F735" s="27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7"/>
      <c r="E736" s="27"/>
      <c r="F736" s="27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7"/>
      <c r="E737" s="27"/>
      <c r="F737" s="27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7"/>
      <c r="E738" s="27"/>
      <c r="F738" s="27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7"/>
      <c r="E739" s="27"/>
      <c r="F739" s="27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7"/>
      <c r="E740" s="27"/>
      <c r="F740" s="27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7"/>
      <c r="E741" s="27"/>
      <c r="F741" s="27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7"/>
      <c r="E742" s="27"/>
      <c r="F742" s="27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7"/>
      <c r="E743" s="27"/>
      <c r="F743" s="27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7"/>
      <c r="E744" s="27"/>
      <c r="F744" s="27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7"/>
      <c r="E745" s="27"/>
      <c r="F745" s="27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7"/>
      <c r="E746" s="27"/>
      <c r="F746" s="27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7"/>
      <c r="E747" s="27"/>
      <c r="F747" s="27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7"/>
      <c r="E748" s="27"/>
      <c r="F748" s="27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7"/>
      <c r="E749" s="27"/>
      <c r="F749" s="27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7"/>
      <c r="E750" s="27"/>
      <c r="F750" s="27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7"/>
      <c r="E751" s="27"/>
      <c r="F751" s="27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7"/>
      <c r="E752" s="27"/>
      <c r="F752" s="27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7"/>
      <c r="E753" s="27"/>
      <c r="F753" s="27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7"/>
      <c r="E754" s="27"/>
      <c r="F754" s="27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7"/>
      <c r="E755" s="27"/>
      <c r="F755" s="27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7"/>
      <c r="E756" s="27"/>
      <c r="F756" s="27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7"/>
      <c r="E757" s="27"/>
      <c r="F757" s="27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7"/>
      <c r="E758" s="27"/>
      <c r="F758" s="27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7"/>
      <c r="E759" s="27"/>
      <c r="F759" s="27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7"/>
      <c r="E760" s="27"/>
      <c r="F760" s="27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7"/>
      <c r="E761" s="27"/>
      <c r="F761" s="27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7"/>
      <c r="E762" s="27"/>
      <c r="F762" s="27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7"/>
      <c r="E763" s="27"/>
      <c r="F763" s="27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7"/>
      <c r="E764" s="27"/>
      <c r="F764" s="27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7"/>
      <c r="E765" s="27"/>
      <c r="F765" s="27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7"/>
      <c r="E766" s="27"/>
      <c r="F766" s="27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7"/>
      <c r="E767" s="27"/>
      <c r="F767" s="27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7"/>
      <c r="E768" s="27"/>
      <c r="F768" s="27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7"/>
      <c r="E769" s="27"/>
      <c r="F769" s="27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7"/>
      <c r="E770" s="27"/>
      <c r="F770" s="27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7"/>
      <c r="E771" s="27"/>
      <c r="F771" s="27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7"/>
      <c r="E772" s="27"/>
      <c r="F772" s="27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7"/>
      <c r="E773" s="27"/>
      <c r="F773" s="27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7"/>
      <c r="E774" s="27"/>
      <c r="F774" s="27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7"/>
      <c r="E775" s="27"/>
      <c r="F775" s="27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7"/>
      <c r="E776" s="27"/>
      <c r="F776" s="27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7"/>
      <c r="E777" s="27"/>
      <c r="F777" s="27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7"/>
      <c r="E778" s="27"/>
      <c r="F778" s="27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7"/>
      <c r="E779" s="27"/>
      <c r="F779" s="27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7"/>
      <c r="E780" s="27"/>
      <c r="F780" s="27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7"/>
      <c r="E781" s="27"/>
      <c r="F781" s="27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7"/>
      <c r="E782" s="27"/>
      <c r="F782" s="27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7"/>
      <c r="E783" s="27"/>
      <c r="F783" s="27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7"/>
      <c r="E784" s="27"/>
      <c r="F784" s="27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7"/>
      <c r="E785" s="27"/>
      <c r="F785" s="27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7"/>
      <c r="E786" s="27"/>
      <c r="F786" s="27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7"/>
      <c r="E787" s="27"/>
      <c r="F787" s="27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7"/>
      <c r="E788" s="27"/>
      <c r="F788" s="27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7"/>
      <c r="E789" s="27"/>
      <c r="F789" s="27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7"/>
      <c r="E790" s="27"/>
      <c r="F790" s="27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7"/>
      <c r="E791" s="27"/>
      <c r="F791" s="27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7"/>
      <c r="E792" s="27"/>
      <c r="F792" s="27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7"/>
      <c r="E793" s="27"/>
      <c r="F793" s="27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7"/>
      <c r="E794" s="27"/>
      <c r="F794" s="27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7"/>
      <c r="E795" s="27"/>
      <c r="F795" s="27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7"/>
      <c r="E796" s="27"/>
      <c r="F796" s="27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7"/>
      <c r="E797" s="27"/>
      <c r="F797" s="27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7"/>
      <c r="E798" s="27"/>
      <c r="F798" s="27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7"/>
      <c r="E799" s="27"/>
      <c r="F799" s="27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7"/>
      <c r="E800" s="27"/>
      <c r="F800" s="27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7"/>
      <c r="E801" s="27"/>
      <c r="F801" s="27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7"/>
      <c r="E802" s="27"/>
      <c r="F802" s="27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7"/>
      <c r="E803" s="27"/>
      <c r="F803" s="27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7"/>
      <c r="E804" s="27"/>
      <c r="F804" s="27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7"/>
      <c r="E805" s="27"/>
      <c r="F805" s="27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7"/>
      <c r="E806" s="27"/>
      <c r="F806" s="27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7"/>
      <c r="E807" s="27"/>
      <c r="F807" s="27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7"/>
      <c r="E808" s="27"/>
      <c r="F808" s="27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7"/>
      <c r="E809" s="27"/>
      <c r="F809" s="27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7"/>
      <c r="E810" s="27"/>
      <c r="F810" s="27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7"/>
      <c r="E811" s="27"/>
      <c r="F811" s="27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7"/>
      <c r="E812" s="27"/>
      <c r="F812" s="27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7"/>
      <c r="E813" s="27"/>
      <c r="F813" s="27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7"/>
      <c r="E814" s="27"/>
      <c r="F814" s="27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7"/>
      <c r="E815" s="27"/>
      <c r="F815" s="27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7"/>
      <c r="E816" s="27"/>
      <c r="F816" s="27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7"/>
      <c r="E817" s="27"/>
      <c r="F817" s="27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7"/>
      <c r="E818" s="27"/>
      <c r="F818" s="27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7"/>
      <c r="E819" s="27"/>
      <c r="F819" s="27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7"/>
      <c r="E820" s="27"/>
      <c r="F820" s="27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7"/>
      <c r="E821" s="27"/>
      <c r="F821" s="27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7"/>
      <c r="E822" s="27"/>
      <c r="F822" s="27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7"/>
      <c r="E823" s="27"/>
      <c r="F823" s="27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7"/>
      <c r="E824" s="27"/>
      <c r="F824" s="27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7"/>
      <c r="E825" s="27"/>
      <c r="F825" s="27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7"/>
      <c r="E826" s="27"/>
      <c r="F826" s="27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7"/>
      <c r="E827" s="27"/>
      <c r="F827" s="27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7"/>
      <c r="E828" s="27"/>
      <c r="F828" s="27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7"/>
      <c r="E829" s="27"/>
      <c r="F829" s="27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7"/>
      <c r="E830" s="27"/>
      <c r="F830" s="27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7"/>
      <c r="E831" s="27"/>
      <c r="F831" s="27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7"/>
      <c r="E832" s="27"/>
      <c r="F832" s="27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7"/>
      <c r="E833" s="27"/>
      <c r="F833" s="27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7"/>
      <c r="E834" s="27"/>
      <c r="F834" s="27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7"/>
      <c r="E835" s="27"/>
      <c r="F835" s="27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7"/>
      <c r="E836" s="27"/>
      <c r="F836" s="27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7"/>
      <c r="E837" s="27"/>
      <c r="F837" s="27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7"/>
      <c r="E838" s="27"/>
      <c r="F838" s="27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7"/>
      <c r="E839" s="27"/>
      <c r="F839" s="27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7"/>
      <c r="E840" s="27"/>
      <c r="F840" s="27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7"/>
      <c r="E841" s="27"/>
      <c r="F841" s="27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7"/>
      <c r="E842" s="27"/>
      <c r="F842" s="27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7"/>
      <c r="E843" s="27"/>
      <c r="F843" s="27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7"/>
      <c r="E844" s="27"/>
      <c r="F844" s="27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7"/>
      <c r="E845" s="27"/>
      <c r="F845" s="27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7"/>
      <c r="E846" s="27"/>
      <c r="F846" s="27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7"/>
      <c r="E847" s="27"/>
      <c r="F847" s="27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7"/>
      <c r="E848" s="27"/>
      <c r="F848" s="27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7"/>
      <c r="E849" s="27"/>
      <c r="F849" s="27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7"/>
      <c r="E850" s="27"/>
      <c r="F850" s="27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7"/>
      <c r="E851" s="27"/>
      <c r="F851" s="27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7"/>
      <c r="E852" s="27"/>
      <c r="F852" s="27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7"/>
      <c r="E853" s="27"/>
      <c r="F853" s="27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7"/>
      <c r="E854" s="27"/>
      <c r="F854" s="27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7"/>
      <c r="E855" s="27"/>
      <c r="F855" s="27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7"/>
      <c r="E856" s="27"/>
      <c r="F856" s="27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7"/>
      <c r="E857" s="27"/>
      <c r="F857" s="27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7"/>
      <c r="E858" s="27"/>
      <c r="F858" s="27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7"/>
      <c r="E859" s="27"/>
      <c r="F859" s="27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7"/>
      <c r="E860" s="27"/>
      <c r="F860" s="27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7"/>
      <c r="E861" s="27"/>
      <c r="F861" s="27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7"/>
      <c r="E862" s="27"/>
      <c r="F862" s="27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7"/>
      <c r="E863" s="27"/>
      <c r="F863" s="27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7"/>
      <c r="E864" s="27"/>
      <c r="F864" s="27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7"/>
      <c r="E865" s="27"/>
      <c r="F865" s="27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7"/>
      <c r="E866" s="27"/>
      <c r="F866" s="27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7"/>
      <c r="E867" s="27"/>
      <c r="F867" s="27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7"/>
      <c r="E868" s="27"/>
      <c r="F868" s="27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7"/>
      <c r="E869" s="27"/>
      <c r="F869" s="27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7"/>
      <c r="E870" s="27"/>
      <c r="F870" s="27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7"/>
      <c r="E871" s="27"/>
      <c r="F871" s="27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7"/>
      <c r="E872" s="27"/>
      <c r="F872" s="27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7"/>
      <c r="E873" s="27"/>
      <c r="F873" s="27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7"/>
      <c r="E874" s="27"/>
      <c r="F874" s="27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7"/>
      <c r="E875" s="27"/>
      <c r="F875" s="27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7"/>
      <c r="E876" s="27"/>
      <c r="F876" s="27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7"/>
      <c r="E877" s="27"/>
      <c r="F877" s="27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7"/>
      <c r="E878" s="27"/>
      <c r="F878" s="27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7"/>
      <c r="E879" s="27"/>
      <c r="F879" s="27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7"/>
      <c r="E880" s="27"/>
      <c r="F880" s="27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7"/>
      <c r="E881" s="27"/>
      <c r="F881" s="27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7"/>
      <c r="E882" s="27"/>
      <c r="F882" s="27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7"/>
      <c r="E883" s="27"/>
      <c r="F883" s="27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7"/>
      <c r="E884" s="27"/>
      <c r="F884" s="27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7"/>
      <c r="E885" s="27"/>
      <c r="F885" s="27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7"/>
      <c r="E886" s="27"/>
      <c r="F886" s="27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7"/>
      <c r="E887" s="27"/>
      <c r="F887" s="27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7"/>
      <c r="E888" s="27"/>
      <c r="F888" s="27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7"/>
      <c r="E889" s="27"/>
      <c r="F889" s="27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7"/>
      <c r="E890" s="27"/>
      <c r="F890" s="27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7"/>
      <c r="E891" s="27"/>
      <c r="F891" s="27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7"/>
      <c r="E892" s="27"/>
      <c r="F892" s="27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7"/>
      <c r="E893" s="27"/>
      <c r="F893" s="27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7"/>
      <c r="E894" s="27"/>
      <c r="F894" s="27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7"/>
      <c r="E895" s="27"/>
      <c r="F895" s="27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7"/>
      <c r="E896" s="27"/>
      <c r="F896" s="27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7"/>
      <c r="E897" s="27"/>
      <c r="F897" s="27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7"/>
      <c r="E898" s="27"/>
      <c r="F898" s="27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7"/>
      <c r="E899" s="27"/>
      <c r="F899" s="27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7"/>
      <c r="E900" s="27"/>
      <c r="F900" s="27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7"/>
      <c r="E901" s="27"/>
      <c r="F901" s="27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7"/>
      <c r="E902" s="27"/>
      <c r="F902" s="27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7"/>
      <c r="E903" s="27"/>
      <c r="F903" s="27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7"/>
      <c r="E904" s="27"/>
      <c r="F904" s="27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7"/>
      <c r="E905" s="27"/>
      <c r="F905" s="27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7"/>
      <c r="E906" s="27"/>
      <c r="F906" s="27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7"/>
      <c r="E907" s="27"/>
      <c r="F907" s="27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7"/>
      <c r="E908" s="27"/>
      <c r="F908" s="27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7"/>
      <c r="E909" s="27"/>
      <c r="F909" s="27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7"/>
      <c r="E910" s="27"/>
      <c r="F910" s="27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7"/>
      <c r="E911" s="27"/>
      <c r="F911" s="27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7"/>
      <c r="E912" s="27"/>
      <c r="F912" s="27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7"/>
      <c r="E913" s="27"/>
      <c r="F913" s="27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7"/>
      <c r="E914" s="27"/>
      <c r="F914" s="27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7"/>
      <c r="E915" s="27"/>
      <c r="F915" s="27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7"/>
      <c r="E916" s="27"/>
      <c r="F916" s="27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7"/>
      <c r="E917" s="27"/>
      <c r="F917" s="27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7"/>
      <c r="E918" s="27"/>
      <c r="F918" s="27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7"/>
      <c r="E919" s="27"/>
      <c r="F919" s="27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7"/>
      <c r="E920" s="27"/>
      <c r="F920" s="27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7"/>
      <c r="E921" s="27"/>
      <c r="F921" s="27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7"/>
      <c r="E922" s="27"/>
      <c r="F922" s="27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7"/>
      <c r="E923" s="27"/>
      <c r="F923" s="27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7"/>
      <c r="E924" s="27"/>
      <c r="F924" s="27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7"/>
      <c r="E925" s="27"/>
      <c r="F925" s="27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7"/>
      <c r="E926" s="27"/>
      <c r="F926" s="27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7"/>
      <c r="E927" s="27"/>
      <c r="F927" s="27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7"/>
      <c r="E928" s="27"/>
      <c r="F928" s="27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7"/>
      <c r="E929" s="27"/>
      <c r="F929" s="27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7"/>
      <c r="E930" s="27"/>
      <c r="F930" s="27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7"/>
      <c r="E931" s="27"/>
      <c r="F931" s="27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7"/>
      <c r="E932" s="27"/>
      <c r="F932" s="27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7"/>
      <c r="E933" s="27"/>
      <c r="F933" s="27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7"/>
      <c r="E934" s="27"/>
      <c r="F934" s="27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7"/>
      <c r="E935" s="27"/>
      <c r="F935" s="27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7"/>
      <c r="E936" s="27"/>
      <c r="F936" s="27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7"/>
      <c r="E937" s="27"/>
      <c r="F937" s="27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7"/>
      <c r="E938" s="27"/>
      <c r="F938" s="27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7"/>
      <c r="E939" s="27"/>
      <c r="F939" s="27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7"/>
      <c r="E940" s="27"/>
      <c r="F940" s="27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7"/>
      <c r="E941" s="27"/>
      <c r="F941" s="27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7"/>
      <c r="E942" s="27"/>
      <c r="F942" s="27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7"/>
      <c r="E943" s="27"/>
      <c r="F943" s="27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7"/>
      <c r="E944" s="27"/>
      <c r="F944" s="27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7"/>
      <c r="E945" s="27"/>
      <c r="F945" s="27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7"/>
      <c r="E946" s="27"/>
      <c r="F946" s="27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7"/>
      <c r="E947" s="27"/>
      <c r="F947" s="27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7"/>
      <c r="E948" s="27"/>
      <c r="F948" s="27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7"/>
      <c r="E949" s="27"/>
      <c r="F949" s="27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7"/>
      <c r="E950" s="27"/>
      <c r="F950" s="27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7"/>
      <c r="E951" s="27"/>
      <c r="F951" s="27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7"/>
      <c r="E952" s="27"/>
      <c r="F952" s="27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7"/>
      <c r="E953" s="27"/>
      <c r="F953" s="27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7"/>
      <c r="E954" s="27"/>
      <c r="F954" s="27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7"/>
      <c r="E955" s="27"/>
      <c r="F955" s="27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7"/>
      <c r="E956" s="27"/>
      <c r="F956" s="27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7"/>
      <c r="E957" s="27"/>
      <c r="F957" s="27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7"/>
      <c r="E958" s="27"/>
      <c r="F958" s="27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7"/>
      <c r="E959" s="27"/>
      <c r="F959" s="27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7"/>
      <c r="E960" s="27"/>
      <c r="F960" s="27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7"/>
      <c r="E961" s="27"/>
      <c r="F961" s="27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7"/>
      <c r="E962" s="27"/>
      <c r="F962" s="27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7"/>
      <c r="E963" s="27"/>
      <c r="F963" s="27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7"/>
      <c r="E964" s="27"/>
      <c r="F964" s="27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7"/>
      <c r="E965" s="27"/>
      <c r="F965" s="27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7"/>
      <c r="E966" s="27"/>
      <c r="F966" s="27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7"/>
      <c r="E967" s="27"/>
      <c r="F967" s="27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7"/>
      <c r="E968" s="27"/>
      <c r="F968" s="27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7"/>
      <c r="E969" s="27"/>
      <c r="F969" s="27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7"/>
      <c r="E970" s="27"/>
      <c r="F970" s="27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7"/>
      <c r="E971" s="27"/>
      <c r="F971" s="27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7"/>
      <c r="E972" s="27"/>
      <c r="F972" s="27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7"/>
      <c r="E973" s="27"/>
      <c r="F973" s="27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7"/>
      <c r="E974" s="27"/>
      <c r="F974" s="27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7"/>
      <c r="E975" s="27"/>
      <c r="F975" s="27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7"/>
      <c r="E976" s="27"/>
      <c r="F976" s="27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7"/>
      <c r="E977" s="27"/>
      <c r="F977" s="27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7"/>
      <c r="E978" s="27"/>
      <c r="F978" s="27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7"/>
      <c r="E979" s="27"/>
      <c r="F979" s="27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7"/>
      <c r="E980" s="27"/>
      <c r="F980" s="27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7"/>
      <c r="E981" s="27"/>
      <c r="F981" s="27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7"/>
      <c r="E982" s="27"/>
      <c r="F982" s="27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7"/>
      <c r="E983" s="27"/>
      <c r="F983" s="27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7"/>
      <c r="E984" s="27"/>
      <c r="F984" s="27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7"/>
      <c r="E985" s="27"/>
      <c r="F985" s="27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7"/>
      <c r="E986" s="27"/>
      <c r="F986" s="27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7"/>
      <c r="E987" s="27"/>
      <c r="F987" s="27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7"/>
      <c r="E988" s="27"/>
      <c r="F988" s="27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7"/>
      <c r="E989" s="27"/>
      <c r="F989" s="27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7"/>
      <c r="E990" s="27"/>
      <c r="F990" s="27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7"/>
      <c r="E991" s="27"/>
      <c r="F991" s="27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7"/>
      <c r="E992" s="27"/>
      <c r="F992" s="27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7"/>
      <c r="E993" s="27"/>
      <c r="F993" s="27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7"/>
      <c r="E994" s="27"/>
      <c r="F994" s="27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7"/>
      <c r="E995" s="27"/>
      <c r="F995" s="27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7"/>
      <c r="E996" s="27"/>
      <c r="F996" s="27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7"/>
      <c r="E997" s="27"/>
      <c r="F997" s="27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7"/>
      <c r="E998" s="27"/>
      <c r="F998" s="27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7"/>
      <c r="E999" s="27"/>
      <c r="F999" s="27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7"/>
      <c r="E1000" s="27"/>
      <c r="F1000" s="27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3">
    <mergeCell ref="A117:A128"/>
    <mergeCell ref="A129:A130"/>
    <mergeCell ref="A131:A139"/>
    <mergeCell ref="A141:A164"/>
    <mergeCell ref="A165:A166"/>
    <mergeCell ref="A168:A177"/>
    <mergeCell ref="A178:A179"/>
    <mergeCell ref="A180:A183"/>
    <mergeCell ref="A184:A194"/>
    <mergeCell ref="A196:A198"/>
    <mergeCell ref="A199:A219"/>
    <mergeCell ref="A221:A237"/>
    <mergeCell ref="A238:A243"/>
    <mergeCell ref="A244:A253"/>
    <mergeCell ref="A289:A302"/>
    <mergeCell ref="D1:F1"/>
    <mergeCell ref="A3:A9"/>
    <mergeCell ref="B3:B9"/>
    <mergeCell ref="A10:A12"/>
    <mergeCell ref="B10:B12"/>
    <mergeCell ref="A13:A25"/>
    <mergeCell ref="B13:B25"/>
    <mergeCell ref="A26:A29"/>
    <mergeCell ref="B26:B29"/>
    <mergeCell ref="A30:A48"/>
    <mergeCell ref="B30:B48"/>
    <mergeCell ref="A49:A59"/>
    <mergeCell ref="B49:B59"/>
    <mergeCell ref="B60:B67"/>
    <mergeCell ref="A60:A67"/>
    <mergeCell ref="A68:A70"/>
    <mergeCell ref="A71:A78"/>
    <mergeCell ref="A81:A84"/>
    <mergeCell ref="A85:A103"/>
    <mergeCell ref="A104:A108"/>
    <mergeCell ref="A109:A116"/>
    <mergeCell ref="B68:B70"/>
    <mergeCell ref="B71:B78"/>
    <mergeCell ref="B81:B84"/>
    <mergeCell ref="B85:B103"/>
    <mergeCell ref="B104:B108"/>
    <mergeCell ref="B109:B116"/>
    <mergeCell ref="B117:B128"/>
    <mergeCell ref="B129:B130"/>
    <mergeCell ref="B131:B139"/>
    <mergeCell ref="B141:B164"/>
    <mergeCell ref="B165:B166"/>
    <mergeCell ref="B168:B177"/>
    <mergeCell ref="B178:B179"/>
    <mergeCell ref="B180:B183"/>
    <mergeCell ref="A256:A268"/>
    <mergeCell ref="A269:A286"/>
    <mergeCell ref="A287:A288"/>
    <mergeCell ref="B269:B286"/>
    <mergeCell ref="B287:B288"/>
    <mergeCell ref="B289:B302"/>
    <mergeCell ref="B184:B194"/>
    <mergeCell ref="B196:B198"/>
    <mergeCell ref="B199:B219"/>
    <mergeCell ref="B221:B237"/>
    <mergeCell ref="B238:B243"/>
    <mergeCell ref="B244:B253"/>
    <mergeCell ref="B256:B26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2" max="2" width="9.0"/>
    <col customWidth="1" min="3" max="3" width="21.33"/>
    <col customWidth="1" min="4" max="4" width="18.33"/>
    <col customWidth="1" min="5" max="5" width="22.44"/>
    <col customWidth="1" min="6" max="6" width="47.22"/>
    <col customWidth="1" min="7" max="7" width="9.0"/>
    <col customWidth="1" min="8" max="8" width="8.89"/>
    <col customWidth="1" min="9" max="9" width="25.11"/>
    <col customWidth="1" min="10" max="26" width="8.56"/>
  </cols>
  <sheetData>
    <row r="1">
      <c r="A1" s="39" t="s">
        <v>146</v>
      </c>
      <c r="B1" s="20" t="s">
        <v>23</v>
      </c>
      <c r="C1" s="45" t="s">
        <v>147</v>
      </c>
      <c r="D1" s="39" t="s">
        <v>148</v>
      </c>
      <c r="E1" s="46" t="s">
        <v>149</v>
      </c>
      <c r="F1" s="47" t="s">
        <v>150</v>
      </c>
      <c r="G1" s="39" t="s">
        <v>151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48" t="s">
        <v>152</v>
      </c>
      <c r="B2" s="49">
        <v>1.0</v>
      </c>
      <c r="C2" s="26">
        <v>1.5932579E7</v>
      </c>
      <c r="D2" s="48" t="s">
        <v>153</v>
      </c>
      <c r="E2" s="50" t="s">
        <v>154</v>
      </c>
      <c r="F2" s="51" t="s">
        <v>155</v>
      </c>
      <c r="G2" s="52" t="s">
        <v>156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27" t="s">
        <v>157</v>
      </c>
      <c r="B3" s="53">
        <v>3.0</v>
      </c>
      <c r="C3" s="26">
        <v>4.4641316E7</v>
      </c>
      <c r="D3" s="27" t="s">
        <v>153</v>
      </c>
      <c r="E3" s="54" t="s">
        <v>158</v>
      </c>
      <c r="F3" s="54" t="s">
        <v>159</v>
      </c>
      <c r="G3" s="21" t="s">
        <v>156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7" t="s">
        <v>160</v>
      </c>
      <c r="B4" s="53">
        <v>13.0</v>
      </c>
      <c r="C4" s="26">
        <v>2.3330247E7</v>
      </c>
      <c r="D4" s="27" t="s">
        <v>153</v>
      </c>
      <c r="E4" s="27" t="s">
        <v>161</v>
      </c>
      <c r="F4" s="54" t="s">
        <v>162</v>
      </c>
      <c r="G4" s="21" t="s">
        <v>156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7" t="s">
        <v>163</v>
      </c>
      <c r="B5" s="53">
        <v>15.0</v>
      </c>
      <c r="C5" s="26">
        <v>3.2913674E7</v>
      </c>
      <c r="D5" s="27" t="s">
        <v>153</v>
      </c>
      <c r="E5" s="27" t="s">
        <v>164</v>
      </c>
      <c r="F5" s="54" t="s">
        <v>165</v>
      </c>
      <c r="G5" s="21" t="s">
        <v>156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7" t="s">
        <v>166</v>
      </c>
      <c r="B6" s="53">
        <v>16.0</v>
      </c>
      <c r="C6" s="26">
        <v>1673752.0</v>
      </c>
      <c r="D6" s="27" t="s">
        <v>153</v>
      </c>
      <c r="E6" s="54" t="s">
        <v>167</v>
      </c>
      <c r="F6" s="54" t="s">
        <v>168</v>
      </c>
      <c r="G6" s="21" t="s">
        <v>156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55" t="s">
        <v>169</v>
      </c>
      <c r="B7" s="56">
        <v>22.0</v>
      </c>
      <c r="C7" s="56">
        <v>1.9657978E7</v>
      </c>
      <c r="D7" s="55" t="s">
        <v>153</v>
      </c>
      <c r="E7" s="55" t="s">
        <v>170</v>
      </c>
      <c r="F7" s="57" t="s">
        <v>171</v>
      </c>
      <c r="G7" s="58" t="s">
        <v>156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7"/>
      <c r="B8" s="53"/>
      <c r="C8" s="53"/>
      <c r="D8" s="27"/>
      <c r="E8" s="27"/>
      <c r="F8" s="54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0" t="s">
        <v>144</v>
      </c>
      <c r="B9" s="21"/>
      <c r="C9" s="21"/>
      <c r="D9" s="21"/>
      <c r="E9" s="21"/>
      <c r="F9" s="21"/>
      <c r="G9" s="21"/>
      <c r="H9" s="21"/>
      <c r="I9" s="59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60" t="s">
        <v>172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0" t="s">
        <v>145</v>
      </c>
      <c r="B11" s="21"/>
      <c r="C11" s="21"/>
      <c r="D11" s="21"/>
      <c r="E11" s="21"/>
      <c r="F11" s="6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2019-12-05T15:48:20Z</dcterms:created>
  <dc:creator>Maragh, Samantha (Fed)</dc:creator>
</cp:coreProperties>
</file>